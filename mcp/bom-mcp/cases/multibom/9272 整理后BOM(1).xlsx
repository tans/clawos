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PGE22001.052.000-02 " sheetId="1" r:id="rId1"/>
    <sheet name="PGE22001.051.000-01" sheetId="2" r:id="rId2"/>
    <sheet name="PGE22001.050.000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<sst xmlns="http://schemas.openxmlformats.org/spreadsheetml/2006/main" count="986" uniqueCount="462">
  <si>
    <t xml:space="preserve">BOM名称：92712 PG -aQT_WMLite_rB_Assembly_w_o_WiFi_SD (PGE22001.052.000-02 </t>
  </si>
  <si>
    <t>PCBA 报价明细</t>
  </si>
  <si>
    <t>报价日期：2026-3-11</t>
  </si>
  <si>
    <t>BOM原信息</t>
  </si>
  <si>
    <t>15000套</t>
  </si>
  <si>
    <t>替代料信息</t>
  </si>
  <si>
    <t>Line #</t>
  </si>
  <si>
    <t>Description</t>
  </si>
  <si>
    <t>Designator</t>
  </si>
  <si>
    <t>Quantity</t>
  </si>
  <si>
    <t>Manufacturer 1</t>
  </si>
  <si>
    <t>Manufacturer Part Number 1</t>
  </si>
  <si>
    <t>实际需求数量</t>
  </si>
  <si>
    <t>采购数量</t>
  </si>
  <si>
    <t>价格</t>
  </si>
  <si>
    <t>金额</t>
  </si>
  <si>
    <t>交期</t>
  </si>
  <si>
    <t>MOQ</t>
  </si>
  <si>
    <t>备注</t>
  </si>
  <si>
    <t>制造商料号</t>
  </si>
  <si>
    <t>品牌</t>
  </si>
  <si>
    <t>规格书</t>
  </si>
  <si>
    <t>220n 16V X7R</t>
  </si>
  <si>
    <t>C1, C2, C3, C4</t>
  </si>
  <si>
    <t>Yageo</t>
  </si>
  <si>
    <t>CC0402KRX7R7BB224</t>
  </si>
  <si>
    <t>5-7天交期</t>
  </si>
  <si>
    <t>按最小的MOP采购</t>
  </si>
  <si>
    <t>1u 16V X5R</t>
  </si>
  <si>
    <t>C10, C11</t>
  </si>
  <si>
    <t>CC0402KRX5R7BB105</t>
  </si>
  <si>
    <t>100n 16V X7R</t>
  </si>
  <si>
    <t>C18, C36, C37, C42, C50, C52, C53, C54, C56, C57</t>
  </si>
  <si>
    <t>Samsung</t>
  </si>
  <si>
    <t>CL05B104KO5NFNC</t>
  </si>
  <si>
    <t>56p 50V NP0</t>
  </si>
  <si>
    <t>C35, C51</t>
  </si>
  <si>
    <t>CC0402JRNPO9BN560</t>
  </si>
  <si>
    <t>10u 10V X5R</t>
  </si>
  <si>
    <t>C43, C55</t>
  </si>
  <si>
    <t>CL10A106KP8NNNC</t>
  </si>
  <si>
    <t>TDA8035HN</t>
  </si>
  <si>
    <t>DD1, DD2</t>
  </si>
  <si>
    <t>NXP Semiconductors</t>
  </si>
  <si>
    <t>TDA8035HN/C1,118</t>
  </si>
  <si>
    <t>M1, M2, M3, M4, M5, M6</t>
  </si>
  <si>
    <t>22K</t>
  </si>
  <si>
    <t>R9, R30</t>
  </si>
  <si>
    <t>RC0402FR-0722KL</t>
  </si>
  <si>
    <t>0R</t>
  </si>
  <si>
    <t>R11, R17, R22, R25, R28, R37</t>
  </si>
  <si>
    <t>RC0402JR-070RL</t>
  </si>
  <si>
    <t>DS1031-08-2*24PxxS41Sxx</t>
  </si>
  <si>
    <t>XP7</t>
  </si>
  <si>
    <t>Connfly</t>
  </si>
  <si>
    <t>DS1031-08-2*24P8BS41SR-3A</t>
  </si>
  <si>
    <t>115B-AAA0-R01</t>
  </si>
  <si>
    <t>XS4, XS6</t>
  </si>
  <si>
    <t>Attend</t>
  </si>
  <si>
    <t>合计</t>
  </si>
  <si>
    <t>价格、货期说明：</t>
  </si>
  <si>
    <t>价格项目</t>
  </si>
  <si>
    <t>订单数量</t>
  </si>
  <si>
    <t>单价</t>
  </si>
  <si>
    <r>
      <rPr>
        <sz val="10"/>
        <color theme="1"/>
        <rFont val="宋体"/>
        <charset val="134"/>
        <scheme val="minor"/>
      </rPr>
      <t>报价明细里的价格是按目前现货市场我司能拿到的</t>
    </r>
    <r>
      <rPr>
        <b/>
        <sz val="10"/>
        <color rgb="FFFF0000"/>
        <rFont val="宋体"/>
        <charset val="134"/>
        <scheme val="minor"/>
      </rPr>
      <t>最低</t>
    </r>
    <r>
      <rPr>
        <sz val="10"/>
        <color theme="1"/>
        <rFont val="宋体"/>
        <charset val="134"/>
        <scheme val="minor"/>
      </rPr>
      <t>价格核算；</t>
    </r>
  </si>
  <si>
    <t>元器件总价</t>
  </si>
  <si>
    <r>
      <rPr>
        <sz val="10"/>
        <color theme="1"/>
        <rFont val="宋体"/>
        <charset val="134"/>
        <scheme val="minor"/>
      </rPr>
      <t>报价明细里货期为现货供应商当下确定的</t>
    </r>
    <r>
      <rPr>
        <b/>
        <sz val="10"/>
        <color rgb="FFFF0000"/>
        <rFont val="宋体"/>
        <charset val="134"/>
        <scheme val="minor"/>
      </rPr>
      <t>最短</t>
    </r>
    <r>
      <rPr>
        <sz val="10"/>
        <color theme="1"/>
        <rFont val="宋体"/>
        <charset val="134"/>
        <scheme val="minor"/>
      </rPr>
      <t>L/T时间；</t>
    </r>
  </si>
  <si>
    <t>加工费</t>
  </si>
  <si>
    <t>现货货源和数量是流动的，未下订单前无法锁定货源与价格；如未及时下单，价格、交期需要重新确认；</t>
  </si>
  <si>
    <t>包装费</t>
  </si>
  <si>
    <r>
      <rPr>
        <b/>
        <sz val="10"/>
        <color rgb="FFFF0000"/>
        <rFont val="宋体"/>
        <charset val="134"/>
        <scheme val="minor"/>
      </rPr>
      <t>注意</t>
    </r>
    <r>
      <rPr>
        <sz val="10"/>
        <color theme="1"/>
        <rFont val="宋体"/>
        <charset val="134"/>
        <scheme val="minor"/>
      </rPr>
      <t>：如需</t>
    </r>
    <r>
      <rPr>
        <sz val="10"/>
        <rFont val="宋体"/>
        <charset val="134"/>
        <scheme val="minor"/>
      </rPr>
      <t>加急、</t>
    </r>
    <r>
      <rPr>
        <sz val="10"/>
        <color theme="1"/>
        <rFont val="宋体"/>
        <charset val="134"/>
        <scheme val="minor"/>
      </rPr>
      <t>订单变更、分批交付，成本和交期需重新确认；</t>
    </r>
  </si>
  <si>
    <t>烧录&amp;测试费</t>
  </si>
  <si>
    <t>分板&amp;洗板费</t>
  </si>
  <si>
    <t>开机费</t>
  </si>
  <si>
    <t>针对小批量订单</t>
  </si>
  <si>
    <t>钢网</t>
  </si>
  <si>
    <t>模、治具费</t>
  </si>
  <si>
    <t>总价RMB含税</t>
  </si>
  <si>
    <t>总价USD</t>
  </si>
  <si>
    <t>BOM名称：aQsiCubeT-b_IF_rC10_Assembly_Lite__2024-10-17 (3) (PGE22001.051.000-01</t>
  </si>
  <si>
    <t>客户代码：261</t>
  </si>
  <si>
    <t>报价日期：2026-3-12</t>
  </si>
  <si>
    <t>HYG-8503A-5027</t>
  </si>
  <si>
    <t>BA3</t>
  </si>
  <si>
    <t>HYDZ</t>
  </si>
  <si>
    <t>CR2032 MFR SM</t>
  </si>
  <si>
    <t>BAT2</t>
  </si>
  <si>
    <t>Renata</t>
  </si>
  <si>
    <t>68u</t>
  </si>
  <si>
    <t>C28, C32</t>
  </si>
  <si>
    <t>Ymin</t>
  </si>
  <si>
    <t>VKMD1001J680MV</t>
  </si>
  <si>
    <t>47u</t>
  </si>
  <si>
    <t>C38</t>
  </si>
  <si>
    <t>Samwha Capacitor</t>
  </si>
  <si>
    <t>CS3225X5R476K160NRL</t>
  </si>
  <si>
    <t>100n</t>
  </si>
  <si>
    <t>C1, C2, C20, C23, C46A, C87A, C102</t>
  </si>
  <si>
    <t>CL05B104KO5NNNC</t>
  </si>
  <si>
    <t>10n</t>
  </si>
  <si>
    <t>C4, C5</t>
  </si>
  <si>
    <t>CCTC</t>
  </si>
  <si>
    <t>TCC0603X7R103K251CT</t>
  </si>
  <si>
    <t>1u</t>
  </si>
  <si>
    <t>C19, C42</t>
  </si>
  <si>
    <t>Murata</t>
  </si>
  <si>
    <t>GRT155R61C105KE01D</t>
  </si>
  <si>
    <t>10u</t>
  </si>
  <si>
    <t>C21, C88A</t>
  </si>
  <si>
    <t>1n</t>
  </si>
  <si>
    <t>C24, C25</t>
  </si>
  <si>
    <t>CC0402KRX7R9BB102</t>
  </si>
  <si>
    <t>4.7u</t>
  </si>
  <si>
    <t>C29</t>
  </si>
  <si>
    <t>FH</t>
  </si>
  <si>
    <t>1210X475K101NT</t>
  </si>
  <si>
    <t>470n</t>
  </si>
  <si>
    <t>C30</t>
  </si>
  <si>
    <t>YAGEO</t>
  </si>
  <si>
    <t>CC0805KKX7R0BB474</t>
  </si>
  <si>
    <t>220p</t>
  </si>
  <si>
    <t>C31</t>
  </si>
  <si>
    <t>AVX</t>
  </si>
  <si>
    <t>06031A221JAT2A</t>
  </si>
  <si>
    <t>C33</t>
  </si>
  <si>
    <t>CC0402KRX7R9BB103</t>
  </si>
  <si>
    <t>C40, C41</t>
  </si>
  <si>
    <t>CL10A475KP8NNWC</t>
  </si>
  <si>
    <t>100p</t>
  </si>
  <si>
    <t>C43, C62, C63</t>
  </si>
  <si>
    <t>CL05C101JB5NNNC</t>
  </si>
  <si>
    <t>15p</t>
  </si>
  <si>
    <t>C45</t>
  </si>
  <si>
    <t>GRM1555C1H150JA01D</t>
  </si>
  <si>
    <t>C98</t>
  </si>
  <si>
    <t>CL21A106KOQNNNE</t>
  </si>
  <si>
    <t>C3</t>
  </si>
  <si>
    <t>Multicomp Pro</t>
  </si>
  <si>
    <t>MC1206B102K202CT</t>
  </si>
  <si>
    <t>C34, C35, C36</t>
  </si>
  <si>
    <t>GRM32EC72A106KE05L</t>
  </si>
  <si>
    <t>220u</t>
  </si>
  <si>
    <t>C37</t>
  </si>
  <si>
    <t>VPXC0580J221MVTM</t>
  </si>
  <si>
    <t>100u</t>
  </si>
  <si>
    <t>C89A</t>
  </si>
  <si>
    <t>Vishay</t>
  </si>
  <si>
    <t>293D107X06R3B2TE3</t>
  </si>
  <si>
    <t>DS1065-05-2X24S8BSXBS</t>
  </si>
  <si>
    <t>XS2, XS3</t>
  </si>
  <si>
    <t>CONNFLY</t>
  </si>
  <si>
    <t>10114828-10102LF</t>
  </si>
  <si>
    <t>XT2</t>
  </si>
  <si>
    <t>Amphenol ICC</t>
  </si>
  <si>
    <t>UB05C-103</t>
  </si>
  <si>
    <t>XP5</t>
  </si>
  <si>
    <t>hawwin</t>
  </si>
  <si>
    <t>87759-0674</t>
  </si>
  <si>
    <t>XP3*</t>
  </si>
  <si>
    <t>MOLEX</t>
  </si>
  <si>
    <t>GL360-G80P-B0R</t>
  </si>
  <si>
    <t>XP8, XP9</t>
  </si>
  <si>
    <t>all</t>
  </si>
  <si>
    <t xml:space="preserve">国产替代料：LBF15-G80S-B0R02 </t>
  </si>
  <si>
    <t>RJ45</t>
  </si>
  <si>
    <t>XS1</t>
  </si>
  <si>
    <t>Heling</t>
  </si>
  <si>
    <t>MJ56881-B011-HLRN1-C</t>
  </si>
  <si>
    <t>MP9928GL</t>
  </si>
  <si>
    <t>D2</t>
  </si>
  <si>
    <t>MonolithicPower</t>
  </si>
  <si>
    <t>DM1231-02SO-7</t>
  </si>
  <si>
    <t>VD39</t>
  </si>
  <si>
    <t>Diodes Incorporated</t>
  </si>
  <si>
    <t>MBR0580S1-7</t>
  </si>
  <si>
    <t>VD21</t>
  </si>
  <si>
    <t>RB520S-30</t>
  </si>
  <si>
    <t>VD30, VD35</t>
  </si>
  <si>
    <t>ZRE</t>
  </si>
  <si>
    <t>BAT46W</t>
  </si>
  <si>
    <t>VD4</t>
  </si>
  <si>
    <t>Jiangsu Changjing</t>
  </si>
  <si>
    <t>D1213A-02SOL-7</t>
  </si>
  <si>
    <t>VD13, VD29, VD61</t>
  </si>
  <si>
    <t>SMAJ54CA</t>
  </si>
  <si>
    <t>VD22</t>
  </si>
  <si>
    <t>SMAJ5.0A</t>
  </si>
  <si>
    <t>VD24</t>
  </si>
  <si>
    <t>Shanghai Prisemi Elec</t>
  </si>
  <si>
    <t>MMBZ15VALT1G</t>
  </si>
  <si>
    <t>VD16</t>
  </si>
  <si>
    <t>onsemi</t>
  </si>
  <si>
    <t>SS26</t>
  </si>
  <si>
    <t>VD23</t>
  </si>
  <si>
    <t>All</t>
  </si>
  <si>
    <t>SS14</t>
  </si>
  <si>
    <t>VD31</t>
  </si>
  <si>
    <t>Slkor(SLKORMICRO Elec.)</t>
  </si>
  <si>
    <t>180R@100MHz</t>
  </si>
  <si>
    <t>FB1, FB2A, FB4, L2, L8, L9</t>
  </si>
  <si>
    <t>Murata Electronics</t>
  </si>
  <si>
    <t>BLM18PG181SN1D</t>
  </si>
  <si>
    <t>DIO7003LBST5</t>
  </si>
  <si>
    <t>DA1A</t>
  </si>
  <si>
    <t>dloo</t>
  </si>
  <si>
    <t>PAM8301AAF</t>
  </si>
  <si>
    <t>DA2</t>
  </si>
  <si>
    <t>CMLO1040H4R7MTT</t>
  </si>
  <si>
    <t>L3</t>
  </si>
  <si>
    <t>Cybermax</t>
  </si>
  <si>
    <t>FTC322512SR22MBCA</t>
  </si>
  <si>
    <t>L5</t>
  </si>
  <si>
    <t>cjiang (Changjiang Microelectronics Tech)</t>
  </si>
  <si>
    <t>19-217/Y5C-AP1Q2/3T</t>
  </si>
  <si>
    <t>CD2</t>
  </si>
  <si>
    <t>Everlight Elec</t>
  </si>
  <si>
    <t>19-217/GHC-YR1S2/3T</t>
  </si>
  <si>
    <t>CD1</t>
  </si>
  <si>
    <t>75R</t>
  </si>
  <si>
    <t>R1, R3</t>
  </si>
  <si>
    <t>RC0603FR-0775RL</t>
  </si>
  <si>
    <t>1K</t>
  </si>
  <si>
    <t>R8</t>
  </si>
  <si>
    <t>RC0402FR-071KL</t>
  </si>
  <si>
    <t>10K</t>
  </si>
  <si>
    <t>R15, R16A, R85</t>
  </si>
  <si>
    <t>RC0402FR-0710KL</t>
  </si>
  <si>
    <t>240K-1%</t>
  </si>
  <si>
    <t>R40, R137</t>
  </si>
  <si>
    <t>RC0402FR-07240KL</t>
  </si>
  <si>
    <t>10K-1%</t>
  </si>
  <si>
    <t>R55, R138</t>
  </si>
  <si>
    <t>R63, R80, R115</t>
  </si>
  <si>
    <t>22R</t>
  </si>
  <si>
    <t>R76</t>
  </si>
  <si>
    <t>RC0402FR-0722RL</t>
  </si>
  <si>
    <t>R77, R78</t>
  </si>
  <si>
    <t>RC0805JR-130RL</t>
  </si>
  <si>
    <t>51R</t>
  </si>
  <si>
    <t>R82</t>
  </si>
  <si>
    <t>RC0402JR-0751RL</t>
  </si>
  <si>
    <t>2.2K</t>
  </si>
  <si>
    <t>R84, R102</t>
  </si>
  <si>
    <t>yageo</t>
  </si>
  <si>
    <t>RC0402FR-072K2L</t>
  </si>
  <si>
    <t>470R</t>
  </si>
  <si>
    <t>R86</t>
  </si>
  <si>
    <t>RC0402JR-470R</t>
  </si>
  <si>
    <t>63.4K-1%</t>
  </si>
  <si>
    <t>R92, R106</t>
  </si>
  <si>
    <t>AC0402FR-0763K4L</t>
  </si>
  <si>
    <t>10R</t>
  </si>
  <si>
    <t>R96</t>
  </si>
  <si>
    <t>RC0603JR-0710RL</t>
  </si>
  <si>
    <t>0.015R</t>
  </si>
  <si>
    <t>R98</t>
  </si>
  <si>
    <t>TE</t>
  </si>
  <si>
    <t>2176589-5</t>
  </si>
  <si>
    <t>12K-1%</t>
  </si>
  <si>
    <t>R99, R112</t>
  </si>
  <si>
    <t>RC0402FR-0712KL</t>
  </si>
  <si>
    <t>20K-1%</t>
  </si>
  <si>
    <t>R101</t>
  </si>
  <si>
    <t>RT0402BRD0720KL</t>
  </si>
  <si>
    <t>20K</t>
  </si>
  <si>
    <t>R113</t>
  </si>
  <si>
    <t>330K</t>
  </si>
  <si>
    <t>R114</t>
  </si>
  <si>
    <t>RC0402JR-07330KL</t>
  </si>
  <si>
    <t>15K</t>
  </si>
  <si>
    <t>R189</t>
  </si>
  <si>
    <t>RC0402FR-0715KL</t>
  </si>
  <si>
    <t>R191</t>
  </si>
  <si>
    <t>47K</t>
  </si>
  <si>
    <t>R192</t>
  </si>
  <si>
    <t>RC0402FR-0747KL</t>
  </si>
  <si>
    <t>27R</t>
  </si>
  <si>
    <t>R193, R196</t>
  </si>
  <si>
    <t>RC0402JR-0727RL</t>
  </si>
  <si>
    <t>IT-1185BP1</t>
  </si>
  <si>
    <t>SW2, SW3</t>
  </si>
  <si>
    <t>ILSWITCH</t>
  </si>
  <si>
    <t>SDNT1608X473F4050FTF</t>
  </si>
  <si>
    <t>R140*</t>
  </si>
  <si>
    <t>Sunlord</t>
  </si>
  <si>
    <t>11FB-05NL</t>
  </si>
  <si>
    <t>T1</t>
  </si>
  <si>
    <t>Shanghai YDS Tech</t>
  </si>
  <si>
    <t>WSP10N10</t>
  </si>
  <si>
    <t>VT11, VT13</t>
  </si>
  <si>
    <t>Winsok Semicon</t>
  </si>
  <si>
    <t>NX7002BKWX</t>
  </si>
  <si>
    <t>VT5, VT10, VT16</t>
  </si>
  <si>
    <t>Nexperia</t>
  </si>
  <si>
    <t>说明如下：</t>
  </si>
  <si>
    <t>原品牌物料交期长</t>
  </si>
  <si>
    <t>替代料方案建议</t>
  </si>
  <si>
    <t>因故未报价物料</t>
  </si>
  <si>
    <t>BOM名称：aQT_MPU-T_rD1(EM5016) PGE22001.050.000</t>
  </si>
  <si>
    <t>客户代码：216</t>
  </si>
  <si>
    <t>27.12MHz</t>
  </si>
  <si>
    <t>BQ2</t>
  </si>
  <si>
    <t>TAE(Zhejiang Abel Elec)</t>
  </si>
  <si>
    <t>TXM27.12M0004322FBCDO00T</t>
  </si>
  <si>
    <t>32.768kHz</t>
  </si>
  <si>
    <t>BQ4</t>
  </si>
  <si>
    <t>TCXM32768K2NGDCZT2T</t>
  </si>
  <si>
    <t>24MHz</t>
  </si>
  <si>
    <t>BQ5</t>
  </si>
  <si>
    <t>TXM24M0004322DBCDO00T</t>
  </si>
  <si>
    <t>C1, C3, C4, C9, C11, C12, C15, C16, C19, C21, C22, C23, C24, C28, C29, C30, C32, C39, C40, C42, C43, C44, C46, C48, C55, C58, C59, C63, C64, C65, C75, C76, C90, C93, C104, C105, C116, C130, C133, C215, C241, C253, C254, C255, C256, C257, C258, C260, C263, C264, C265, C268, C269, C281, C288</t>
  </si>
  <si>
    <t>C5, C17, C18, C25, C50, C97</t>
  </si>
  <si>
    <t>2.2u</t>
  </si>
  <si>
    <t>C7, C10, C20, C27, C41, C73, C74, C250, C251, C261, C262</t>
  </si>
  <si>
    <t>CL10B225KP8NNNC</t>
  </si>
  <si>
    <t>22p 50V NP0</t>
  </si>
  <si>
    <t>C13, C14, C145, C146, C153</t>
  </si>
  <si>
    <t>CC0402JRNPO9BN220</t>
  </si>
  <si>
    <t>C26, C31, C252, C259, C270, C271</t>
  </si>
  <si>
    <t>CL05A105KP5NNND</t>
  </si>
  <si>
    <t>C33, C34, C35, C36, C37, C57, C68, C77, C78</t>
  </si>
  <si>
    <t>C38, C61, C62, C69, C70, C160, C175</t>
  </si>
  <si>
    <t>22u</t>
  </si>
  <si>
    <t>C45, C102, C103, C132, C135, C139, C143</t>
  </si>
  <si>
    <t>CL21A226MAYNNNE</t>
  </si>
  <si>
    <t>8.2pF ±0,25pF 50V NP0</t>
  </si>
  <si>
    <t>C49, C53, C82, C84</t>
  </si>
  <si>
    <t>CC0402CRNPO9BN8R2</t>
  </si>
  <si>
    <t>20pF 2% 50V C0G</t>
  </si>
  <si>
    <t>C52, C54, C71, C85</t>
  </si>
  <si>
    <t>CC0402FRNPO9BN200</t>
  </si>
  <si>
    <t>1n 50V NP0</t>
  </si>
  <si>
    <t>C66, C91</t>
  </si>
  <si>
    <t>CL05C102JB5NNNC</t>
  </si>
  <si>
    <t>12pF 2% 50V C0G</t>
  </si>
  <si>
    <t>C72, C86, C94, C95</t>
  </si>
  <si>
    <t>GRM1555C1H120FA01D</t>
  </si>
  <si>
    <t>220pF 2% 50V C0G</t>
  </si>
  <si>
    <t>C79, C81, C83, C87</t>
  </si>
  <si>
    <t>CC0402GRNPO9BN221</t>
  </si>
  <si>
    <t>C80</t>
  </si>
  <si>
    <t>CL10B474KA8NNNC</t>
  </si>
  <si>
    <t>33p 50V NP0</t>
  </si>
  <si>
    <t>C98, C99, C100, C101</t>
  </si>
  <si>
    <t>CL05C330JB5NNNC</t>
  </si>
  <si>
    <t>C266, C267</t>
  </si>
  <si>
    <t>ССТС</t>
  </si>
  <si>
    <t>TCC0402X5R474M160AT</t>
  </si>
  <si>
    <t>SN74LVC1G07DCKR</t>
  </si>
  <si>
    <t>DA1</t>
  </si>
  <si>
    <t>UMW(Youtai Semiconductor Co., Ltd.)</t>
  </si>
  <si>
    <t>RY1303</t>
  </si>
  <si>
    <t>Ever Analog</t>
  </si>
  <si>
    <t>EA3036CQBR</t>
  </si>
  <si>
    <t>1.8V</t>
  </si>
  <si>
    <t>DA5</t>
  </si>
  <si>
    <t>Torex</t>
  </si>
  <si>
    <t>XC6206P182MR (XC6206P182MR-G)</t>
  </si>
  <si>
    <t>2.93V</t>
  </si>
  <si>
    <t>DD1</t>
  </si>
  <si>
    <t>SGMICRO</t>
  </si>
  <si>
    <t>SGM803B-SXN3</t>
  </si>
  <si>
    <t>RTL8201F</t>
  </si>
  <si>
    <t>DD3</t>
  </si>
  <si>
    <t>Realtek</t>
  </si>
  <si>
    <t>RTL8201F-VB-CG</t>
  </si>
  <si>
    <t>GD32F303RCT6</t>
  </si>
  <si>
    <t>DD4</t>
  </si>
  <si>
    <t>GigaDevice Semiconductor (HK) Limited</t>
  </si>
  <si>
    <t>KLM4G1FETE-B041</t>
  </si>
  <si>
    <t>DD5</t>
  </si>
  <si>
    <t>SAMSUNG</t>
  </si>
  <si>
    <t>T113-S3</t>
  </si>
  <si>
    <t>DD6</t>
  </si>
  <si>
    <t>Allwinner</t>
  </si>
  <si>
    <t>PN5180A0HN</t>
  </si>
  <si>
    <t>DD12</t>
  </si>
  <si>
    <t>FB1, FB2, FB3, FB4</t>
  </si>
  <si>
    <t>LQW2UASR56G00L</t>
  </si>
  <si>
    <t>L1, L2</t>
  </si>
  <si>
    <t>FTC252012S2R2MBCA</t>
  </si>
  <si>
    <t>L3, L4, L5</t>
  </si>
  <si>
    <t>R1, R5, R15, R56, R57, R196, R204, R301</t>
  </si>
  <si>
    <t>100K</t>
  </si>
  <si>
    <t>R3</t>
  </si>
  <si>
    <t>RC0402JR-07100KL</t>
  </si>
  <si>
    <t>240R</t>
  </si>
  <si>
    <t>R4</t>
  </si>
  <si>
    <t>RC0402FR-07240RL</t>
  </si>
  <si>
    <t>R9, R10, R11, R12, R21, R35, R36, R50, R86, R92, R185, R186, R191</t>
  </si>
  <si>
    <t>39R</t>
  </si>
  <si>
    <t>R13, R18, R22, R26, R31, R33, R37, R87, R90</t>
  </si>
  <si>
    <t>RC0402JR-0739RL</t>
  </si>
  <si>
    <t>R16, R19, R39, R48</t>
  </si>
  <si>
    <t>R17, R20, R29, R30, R32, R34</t>
  </si>
  <si>
    <t>R27, R205</t>
  </si>
  <si>
    <t>220K</t>
  </si>
  <si>
    <t>R28, R58, R203</t>
  </si>
  <si>
    <t>RC0402FR-07220KL</t>
  </si>
  <si>
    <t>27K-1%</t>
  </si>
  <si>
    <t>R47</t>
  </si>
  <si>
    <t>RC0402FR-0727KL</t>
  </si>
  <si>
    <t>2.49K-1%</t>
  </si>
  <si>
    <t>R49</t>
  </si>
  <si>
    <t>RC0402FR-072K49L</t>
  </si>
  <si>
    <t>2R2</t>
  </si>
  <si>
    <t>R53</t>
  </si>
  <si>
    <t xml:space="preserve">RC0402FR-072R2L
</t>
  </si>
  <si>
    <t>R55, R68, R70, R72, R305</t>
  </si>
  <si>
    <t>33R</t>
  </si>
  <si>
    <t>R62, R63</t>
  </si>
  <si>
    <t>RC0402FR-0733RL</t>
  </si>
  <si>
    <t>150K-1%</t>
  </si>
  <si>
    <t>R69, R312, R315</t>
  </si>
  <si>
    <t xml:space="preserve">RC0402FR-07150KL
</t>
  </si>
  <si>
    <t>4.7K</t>
  </si>
  <si>
    <t>R74, R392</t>
  </si>
  <si>
    <t>RC0402FR-074K7L</t>
  </si>
  <si>
    <t>4.7K-1%</t>
  </si>
  <si>
    <t>R188, R200</t>
  </si>
  <si>
    <t>75K-1%</t>
  </si>
  <si>
    <t>R297</t>
  </si>
  <si>
    <t>RC0402FR-0775KL</t>
  </si>
  <si>
    <t>680K-1%</t>
  </si>
  <si>
    <t>R298</t>
  </si>
  <si>
    <t>RC0402FR-07680KL</t>
  </si>
  <si>
    <t>226K</t>
  </si>
  <si>
    <t>R299</t>
  </si>
  <si>
    <t>RC0402FR-07226KL</t>
  </si>
  <si>
    <t>240R-1%</t>
  </si>
  <si>
    <t>R398</t>
  </si>
  <si>
    <t>5.1K-1%</t>
  </si>
  <si>
    <t>R444, R453</t>
  </si>
  <si>
    <t>RC0402FR-075K1L</t>
  </si>
  <si>
    <t>47K-1%</t>
  </si>
  <si>
    <t>R452</t>
  </si>
  <si>
    <t>91K-1%</t>
  </si>
  <si>
    <t>R454</t>
  </si>
  <si>
    <t>RC0402FR-0791KL</t>
  </si>
  <si>
    <t>VD1, VD2, VD3, VD5, VD7, VD9, VD17, VD18, VD19</t>
  </si>
  <si>
    <t>Taiwan Semiconductor</t>
  </si>
  <si>
    <t>替代品牌</t>
  </si>
  <si>
    <t>罗姆</t>
  </si>
  <si>
    <t>VT1, VT6, VT7, VT8, VT9, VT10</t>
  </si>
  <si>
    <t>SI2301S</t>
  </si>
  <si>
    <t>VT5</t>
  </si>
  <si>
    <t>FOSAN</t>
  </si>
  <si>
    <t>62684-502100AHLF</t>
  </si>
  <si>
    <t>XS2</t>
  </si>
  <si>
    <t>FCI</t>
  </si>
  <si>
    <t>SFV12R-3STBE1HLF</t>
  </si>
  <si>
    <t>XS3</t>
  </si>
  <si>
    <t>GL360-G80S-B0R</t>
  </si>
  <si>
    <t>XS4, XS5</t>
  </si>
  <si>
    <t>XKB Connection</t>
  </si>
  <si>
    <t>X0510FVS-80AS-LPV01</t>
  </si>
  <si>
    <t>SFV12R-2ST*</t>
  </si>
  <si>
    <t>XS6</t>
  </si>
  <si>
    <t>SFV12R-2STE1HLF</t>
  </si>
  <si>
    <t>2328702-8</t>
  </si>
  <si>
    <t>XS10</t>
  </si>
  <si>
    <t>TE Connectivity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</si>
</sst>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_ "/>
  </numFmts>
  <fonts count="49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6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name val="宋体"/>
      <charset val="134"/>
      <scheme val="minor"/>
    </font>
    <font>
      <b/>
      <sz val="10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2"/>
      <color theme="1"/>
      <name val="Tahoma"/>
      <charset val="204"/>
    </font>
    <font>
      <i/>
      <sz val="12"/>
      <color theme="1"/>
      <name val="Arial"/>
      <charset val="204"/>
    </font>
    <font>
      <sz val="10"/>
      <color theme="1"/>
      <name val="Arial"/>
      <charset val="204"/>
    </font>
    <font>
      <sz val="12"/>
      <name val="宋体"/>
      <charset val="134"/>
    </font>
    <font>
      <sz val="10"/>
      <color theme="1"/>
      <name val="Arial"/>
      <charset val="134"/>
    </font>
    <font>
      <sz val="12"/>
      <color rgb="FFFF0000"/>
      <name val="宋体"/>
      <charset val="134"/>
    </font>
    <font>
      <sz val="10"/>
      <color rgb="FFFF0000"/>
      <name val="宋体"/>
      <charset val="134"/>
      <scheme val="minor"/>
    </font>
    <font>
      <sz val="12"/>
      <name val="Arial"/>
      <charset val="0"/>
    </font>
    <font>
      <sz val="10"/>
      <name val="微软雅黑"/>
      <charset val="134"/>
    </font>
    <font>
      <sz val="10"/>
      <name val="宋体"/>
      <charset val="134"/>
      <scheme val="minor"/>
    </font>
    <font>
      <sz val="12"/>
      <name val="微软雅黑"/>
      <charset val="134"/>
    </font>
    <font>
      <u/>
      <sz val="12"/>
      <name val="宋体"/>
      <charset val="134"/>
      <scheme val="minor"/>
    </font>
    <font>
      <sz val="12"/>
      <color theme="1"/>
      <name val="Arial"/>
      <charset val="204"/>
    </font>
    <font>
      <sz val="10"/>
      <color theme="9"/>
      <name val="宋体"/>
      <charset val="134"/>
      <scheme val="minor"/>
    </font>
    <font>
      <sz val="14"/>
      <color theme="1"/>
      <name val="宋体"/>
      <charset val="204"/>
    </font>
    <font>
      <i/>
      <sz val="12"/>
      <color theme="1"/>
      <name val="宋体"/>
      <charset val="204"/>
    </font>
    <font>
      <sz val="12"/>
      <color theme="1"/>
      <name val="宋体"/>
      <charset val="204"/>
    </font>
    <font>
      <sz val="10"/>
      <color theme="1"/>
      <name val="宋体"/>
      <charset val="134"/>
    </font>
    <font>
      <i/>
      <sz val="12"/>
      <color rgb="FF333333"/>
      <name val="宋体"/>
      <charset val="204"/>
    </font>
    <font>
      <sz val="12"/>
      <name val="宋体"/>
      <charset val="0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FF0000"/>
      <name val="宋体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F7E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0" fillId="10" borderId="13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34" fillId="0" borderId="14">
      <alignment vertical="center"/>
    </xf>
    <xf numFmtId="0" fontId="35" fillId="0" borderId="14">
      <alignment vertical="center"/>
    </xf>
    <xf numFmtId="0" fontId="36" fillId="0" borderId="15">
      <alignment vertical="center"/>
    </xf>
    <xf numFmtId="0" fontId="36" fillId="0" borderId="0">
      <alignment vertical="center"/>
    </xf>
    <xf numFmtId="0" fontId="37" fillId="11" borderId="16">
      <alignment vertical="center"/>
    </xf>
    <xf numFmtId="0" fontId="38" fillId="12" borderId="17">
      <alignment vertical="center"/>
    </xf>
    <xf numFmtId="0" fontId="39" fillId="12" borderId="16">
      <alignment vertical="center"/>
    </xf>
    <xf numFmtId="0" fontId="40" fillId="13" borderId="18">
      <alignment vertical="center"/>
    </xf>
    <xf numFmtId="0" fontId="41" fillId="0" borderId="19">
      <alignment vertical="center"/>
    </xf>
    <xf numFmtId="0" fontId="42" fillId="0" borderId="20">
      <alignment vertical="center"/>
    </xf>
    <xf numFmtId="0" fontId="43" fillId="14" borderId="0">
      <alignment vertical="center"/>
    </xf>
    <xf numFmtId="0" fontId="44" fillId="15" borderId="0">
      <alignment vertical="center"/>
    </xf>
    <xf numFmtId="0" fontId="45" fillId="16" borderId="0">
      <alignment vertical="center"/>
    </xf>
    <xf numFmtId="0" fontId="46" fillId="17" borderId="0">
      <alignment vertical="center"/>
    </xf>
    <xf numFmtId="0" fontId="47" fillId="18" borderId="0">
      <alignment vertical="center"/>
    </xf>
    <xf numFmtId="0" fontId="47" fillId="19" borderId="0">
      <alignment vertical="center"/>
    </xf>
    <xf numFmtId="0" fontId="46" fillId="20" borderId="0">
      <alignment vertical="center"/>
    </xf>
    <xf numFmtId="0" fontId="46" fillId="21" borderId="0">
      <alignment vertical="center"/>
    </xf>
    <xf numFmtId="0" fontId="47" fillId="22" borderId="0">
      <alignment vertical="center"/>
    </xf>
    <xf numFmtId="0" fontId="47" fillId="23" borderId="0">
      <alignment vertical="center"/>
    </xf>
    <xf numFmtId="0" fontId="46" fillId="24" borderId="0">
      <alignment vertical="center"/>
    </xf>
    <xf numFmtId="0" fontId="46" fillId="25" borderId="0">
      <alignment vertical="center"/>
    </xf>
    <xf numFmtId="0" fontId="47" fillId="26" borderId="0">
      <alignment vertical="center"/>
    </xf>
    <xf numFmtId="0" fontId="47" fillId="27" borderId="0">
      <alignment vertical="center"/>
    </xf>
    <xf numFmtId="0" fontId="46" fillId="28" borderId="0">
      <alignment vertical="center"/>
    </xf>
    <xf numFmtId="0" fontId="46" fillId="29" borderId="0">
      <alignment vertical="center"/>
    </xf>
    <xf numFmtId="0" fontId="47" fillId="30" borderId="0">
      <alignment vertical="center"/>
    </xf>
    <xf numFmtId="0" fontId="47" fillId="31" borderId="0">
      <alignment vertical="center"/>
    </xf>
    <xf numFmtId="0" fontId="46" fillId="32" borderId="0">
      <alignment vertical="center"/>
    </xf>
    <xf numFmtId="0" fontId="46" fillId="33" borderId="0">
      <alignment vertical="center"/>
    </xf>
    <xf numFmtId="0" fontId="47" fillId="34" borderId="0">
      <alignment vertical="center"/>
    </xf>
    <xf numFmtId="0" fontId="47" fillId="35" borderId="0">
      <alignment vertical="center"/>
    </xf>
    <xf numFmtId="0" fontId="46" fillId="36" borderId="0">
      <alignment vertical="center"/>
    </xf>
    <xf numFmtId="0" fontId="46" fillId="37" borderId="0">
      <alignment vertical="center"/>
    </xf>
    <xf numFmtId="0" fontId="47" fillId="38" borderId="0">
      <alignment vertical="center"/>
    </xf>
    <xf numFmtId="0" fontId="47" fillId="39" borderId="0">
      <alignment vertical="center"/>
    </xf>
    <xf numFmtId="0" fontId="46" fillId="40" borderId="0">
      <alignment vertical="center"/>
    </xf>
  </cellStyleXfs>
  <cellXfs count="108">
    <xf numFmtId="0" fontId="0" fillId="0" borderId="0" xfId="0" applyAlignment="1">
      <alignment vertical="center"/>
    </xf>
    <xf numFmtId="0" fontId="1" fillId="2" borderId="0" xfId="0" applyFont="1" applyFill="1" applyAlignment="1"/>
    <xf numFmtId="0" fontId="0" fillId="2" borderId="0" xfId="0" applyFill="1" applyAlignment="1"/>
    <xf numFmtId="0" fontId="0" fillId="2" borderId="0" xfId="0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4" fontId="1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wrapText="1"/>
    </xf>
    <xf numFmtId="0" fontId="8" fillId="3" borderId="1" xfId="0" applyFont="1" applyFill="1" applyBorder="1" applyAlignment="1">
      <alignment horizontal="right" wrapText="1"/>
    </xf>
    <xf numFmtId="0" fontId="9" fillId="3" borderId="1" xfId="0" applyFont="1" applyFill="1" applyBorder="1" applyAlignment="1">
      <alignment wrapText="1"/>
    </xf>
    <xf numFmtId="0" fontId="10" fillId="3" borderId="1" xfId="0" applyFont="1" applyFill="1" applyBorder="1" applyAlignment="1">
      <alignment wrapText="1"/>
    </xf>
    <xf numFmtId="0" fontId="11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wrapText="1"/>
    </xf>
    <xf numFmtId="4" fontId="1" fillId="2" borderId="1" xfId="0" applyNumberFormat="1" applyFont="1" applyFill="1" applyBorder="1" applyAlignment="1">
      <alignment horizontal="center"/>
    </xf>
    <xf numFmtId="0" fontId="11" fillId="0" borderId="1" xfId="0" applyFont="1" applyBorder="1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0" fontId="8" fillId="4" borderId="1" xfId="0" applyFont="1" applyFill="1" applyBorder="1" applyAlignment="1">
      <alignment wrapText="1"/>
    </xf>
    <xf numFmtId="0" fontId="8" fillId="4" borderId="1" xfId="0" applyFont="1" applyFill="1" applyBorder="1" applyAlignment="1">
      <alignment horizontal="right" wrapText="1"/>
    </xf>
    <xf numFmtId="0" fontId="9" fillId="4" borderId="1" xfId="0" applyFont="1" applyFill="1" applyBorder="1" applyAlignment="1">
      <alignment wrapText="1"/>
    </xf>
    <xf numFmtId="0" fontId="11" fillId="0" borderId="5" xfId="0" applyFont="1" applyBorder="1" applyAlignment="1">
      <alignment horizontal="center" vertical="center"/>
    </xf>
    <xf numFmtId="0" fontId="9" fillId="2" borderId="1" xfId="0" applyFont="1" applyFill="1" applyBorder="1" applyAlignment="1">
      <alignment wrapText="1"/>
    </xf>
    <xf numFmtId="0" fontId="9" fillId="2" borderId="1" xfId="0" applyFont="1" applyFill="1" applyBorder="1" applyAlignment="1">
      <alignment horizontal="center" wrapText="1"/>
    </xf>
    <xf numFmtId="0" fontId="0" fillId="0" borderId="0" xfId="0">
      <alignment vertical="center"/>
    </xf>
    <xf numFmtId="0" fontId="11" fillId="0" borderId="6" xfId="0" applyFont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3" fillId="0" borderId="1" xfId="0" applyFont="1" applyBorder="1">
      <alignment vertical="center"/>
    </xf>
    <xf numFmtId="0" fontId="14" fillId="2" borderId="1" xfId="0" applyFont="1" applyFill="1" applyBorder="1" applyAlignment="1">
      <alignment horizontal="center"/>
    </xf>
    <xf numFmtId="0" fontId="15" fillId="6" borderId="5" xfId="0" applyFont="1" applyFill="1" applyBorder="1" applyAlignment="1">
      <alignment vertical="center" wrapText="1"/>
    </xf>
    <xf numFmtId="0" fontId="15" fillId="6" borderId="5" xfId="0" applyFont="1" applyFill="1" applyBorder="1" applyAlignment="1">
      <alignment horizontal="center" vertical="center"/>
    </xf>
    <xf numFmtId="0" fontId="15" fillId="6" borderId="5" xfId="0" applyFont="1" applyFill="1" applyBorder="1">
      <alignment vertical="center"/>
    </xf>
    <xf numFmtId="0" fontId="16" fillId="0" borderId="5" xfId="0" applyFont="1" applyBorder="1" applyAlignment="1">
      <alignment horizontal="center" vertical="center"/>
    </xf>
    <xf numFmtId="0" fontId="15" fillId="6" borderId="6" xfId="0" applyFont="1" applyFill="1" applyBorder="1">
      <alignment vertical="center"/>
    </xf>
    <xf numFmtId="0" fontId="15" fillId="6" borderId="6" xfId="0" applyFont="1" applyFill="1" applyBorder="1" applyAlignment="1">
      <alignment vertical="center" wrapText="1"/>
    </xf>
    <xf numFmtId="0" fontId="15" fillId="6" borderId="6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vertical="center" wrapText="1"/>
    </xf>
    <xf numFmtId="0" fontId="15" fillId="6" borderId="1" xfId="0" applyFont="1" applyFill="1" applyBorder="1" applyAlignment="1">
      <alignment horizontal="center" vertical="center"/>
    </xf>
    <xf numFmtId="0" fontId="15" fillId="6" borderId="1" xfId="0" applyFont="1" applyFill="1" applyBorder="1">
      <alignment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center" vertical="center"/>
    </xf>
    <xf numFmtId="176" fontId="17" fillId="2" borderId="1" xfId="0" applyNumberFormat="1" applyFont="1" applyFill="1" applyBorder="1" applyAlignment="1">
      <alignment horizontal="center" vertical="center"/>
    </xf>
    <xf numFmtId="0" fontId="17" fillId="2" borderId="0" xfId="0" applyFont="1" applyFill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vertical="center"/>
    </xf>
    <xf numFmtId="0" fontId="14" fillId="2" borderId="1" xfId="0" applyFont="1" applyFill="1" applyBorder="1" applyAlignment="1">
      <alignment vertical="center" wrapText="1"/>
    </xf>
    <xf numFmtId="0" fontId="1" fillId="2" borderId="0" xfId="0" applyFont="1" applyFill="1" applyBorder="1" applyAlignment="1"/>
    <xf numFmtId="177" fontId="17" fillId="2" borderId="1" xfId="0" applyNumberFormat="1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177" fontId="17" fillId="2" borderId="0" xfId="0" applyNumberFormat="1" applyFont="1" applyFill="1" applyAlignment="1">
      <alignment horizontal="left"/>
    </xf>
    <xf numFmtId="0" fontId="1" fillId="8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0" fontId="18" fillId="0" borderId="7" xfId="0" applyFont="1" applyFill="1" applyBorder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9" fillId="3" borderId="1" xfId="6" applyFont="1" applyFill="1" applyBorder="1" applyAlignment="1">
      <alignment wrapText="1"/>
    </xf>
    <xf numFmtId="0" fontId="20" fillId="3" borderId="1" xfId="0" applyFont="1" applyFill="1" applyBorder="1" applyAlignment="1">
      <alignment wrapText="1"/>
    </xf>
    <xf numFmtId="0" fontId="11" fillId="2" borderId="6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8" fillId="0" borderId="9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15" fillId="0" borderId="10" xfId="0" applyFont="1" applyFill="1" applyBorder="1" applyAlignment="1">
      <alignment horizontal="center" vertical="center"/>
    </xf>
    <xf numFmtId="0" fontId="15" fillId="0" borderId="1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wrapText="1"/>
    </xf>
    <xf numFmtId="0" fontId="21" fillId="2" borderId="1" xfId="0" applyFont="1" applyFill="1" applyBorder="1" applyAlignment="1">
      <alignment vertical="center" wrapText="1"/>
    </xf>
    <xf numFmtId="0" fontId="22" fillId="3" borderId="1" xfId="0" applyFont="1" applyFill="1" applyBorder="1" applyAlignment="1">
      <alignment wrapText="1"/>
    </xf>
    <xf numFmtId="0" fontId="22" fillId="3" borderId="1" xfId="0" applyFont="1" applyFill="1" applyBorder="1" applyAlignment="1">
      <alignment horizontal="right" wrapText="1"/>
    </xf>
    <xf numFmtId="0" fontId="23" fillId="3" borderId="1" xfId="0" applyFont="1" applyFill="1" applyBorder="1" applyAlignment="1">
      <alignment wrapText="1"/>
    </xf>
    <xf numFmtId="0" fontId="24" fillId="3" borderId="1" xfId="0" applyFont="1" applyFill="1" applyBorder="1" applyAlignment="1">
      <alignment horizontal="center" vertical="center" wrapText="1"/>
    </xf>
    <xf numFmtId="4" fontId="25" fillId="2" borderId="1" xfId="0" applyNumberFormat="1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wrapText="1"/>
    </xf>
    <xf numFmtId="0" fontId="22" fillId="4" borderId="1" xfId="0" applyFont="1" applyFill="1" applyBorder="1" applyAlignment="1">
      <alignment horizontal="right" wrapText="1"/>
    </xf>
    <xf numFmtId="0" fontId="23" fillId="4" borderId="1" xfId="0" applyFont="1" applyFill="1" applyBorder="1" applyAlignment="1">
      <alignment wrapText="1"/>
    </xf>
    <xf numFmtId="0" fontId="24" fillId="4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wrapText="1"/>
    </xf>
    <xf numFmtId="0" fontId="24" fillId="3" borderId="1" xfId="0" applyFont="1" applyFill="1" applyBorder="1" applyAlignment="1">
      <alignment wrapText="1"/>
    </xf>
    <xf numFmtId="0" fontId="22" fillId="3" borderId="12" xfId="0" applyFont="1" applyFill="1" applyBorder="1" applyAlignment="1">
      <alignment wrapText="1"/>
    </xf>
    <xf numFmtId="0" fontId="22" fillId="3" borderId="12" xfId="0" applyFont="1" applyFill="1" applyBorder="1" applyAlignment="1">
      <alignment horizontal="right" wrapText="1"/>
    </xf>
    <xf numFmtId="0" fontId="27" fillId="6" borderId="5" xfId="0" applyFont="1" applyFill="1" applyBorder="1">
      <alignment vertical="center"/>
    </xf>
    <xf numFmtId="0" fontId="27" fillId="6" borderId="5" xfId="0" applyFont="1" applyFill="1" applyBorder="1" applyAlignment="1">
      <alignment vertical="center" wrapText="1"/>
    </xf>
    <xf numFmtId="0" fontId="27" fillId="6" borderId="5" xfId="0" applyFont="1" applyFill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hipdip.by/manufacturer/cc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tabSelected="1" workbookViewId="0">
      <selection activeCell="H12" sqref="H12"/>
    </sheetView>
  </sheetViews>
  <sheetFormatPr defaultColWidth="9" defaultRowHeight="12"/>
  <cols>
    <col min="1" max="1" width="5.21296296296296" style="1" customWidth="1"/>
    <col min="2" max="2" width="34.3333333333333" style="6" customWidth="1"/>
    <col min="3" max="3" width="18.7777777777778" style="1" customWidth="1"/>
    <col min="4" max="4" width="5" style="1" customWidth="1"/>
    <col min="5" max="5" width="22.7777777777778" style="1" customWidth="1"/>
    <col min="6" max="6" width="31.7777777777778" style="1" customWidth="1"/>
    <col min="7" max="7" width="16.4444444444444" style="7" customWidth="1"/>
    <col min="8" max="8" width="10.6666666666667" style="7" customWidth="1"/>
    <col min="9" max="9" width="11.1111111111111" style="8" customWidth="1"/>
    <col min="10" max="10" width="14.2222222222222" style="8" customWidth="1"/>
    <col min="11" max="11" width="15.5555555555556" style="8" customWidth="1"/>
    <col min="12" max="12" width="7.11111111111111" style="7" customWidth="1"/>
    <col min="13" max="13" width="42.8888888888889" style="7" customWidth="1"/>
    <col min="14" max="14" width="17.7777777777778" style="7" customWidth="1"/>
    <col min="15" max="15" width="16.3333333333333" style="8" customWidth="1"/>
    <col min="16" max="16" width="9" style="7"/>
    <col min="17" max="17" width="11.1111111111111" style="1" customWidth="1"/>
    <col min="18" max="16384" width="9" style="1"/>
  </cols>
  <sheetData>
    <row r="1" s="1" customFormat="1" ht="20.4" spans="1:17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="2" customFormat="1" ht="20.4" spans="1:17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="3" customFormat="1" ht="20.4" spans="1:17">
      <c r="A3" s="11"/>
      <c r="B3" s="11"/>
      <c r="C3" s="12"/>
      <c r="D3" s="12"/>
      <c r="E3" s="12"/>
      <c r="F3" s="12"/>
      <c r="G3" s="12"/>
      <c r="H3" s="12"/>
      <c r="I3" s="12"/>
      <c r="J3" s="12"/>
      <c r="K3" s="12"/>
      <c r="L3" s="12"/>
      <c r="M3" s="13" t="s">
        <v>2</v>
      </c>
      <c r="N3" s="13"/>
      <c r="O3" s="13"/>
      <c r="P3" s="13"/>
      <c r="Q3" s="13"/>
    </row>
    <row r="4" s="4" customFormat="1" ht="19.05" customHeight="1" spans="1:17">
      <c r="A4" s="14" t="s">
        <v>3</v>
      </c>
      <c r="B4" s="14"/>
      <c r="C4" s="14"/>
      <c r="D4" s="14"/>
      <c r="E4" s="14"/>
      <c r="F4" s="14"/>
      <c r="G4" s="15" t="s">
        <v>4</v>
      </c>
      <c r="H4" s="16"/>
      <c r="I4" s="16"/>
      <c r="J4" s="16"/>
      <c r="K4" s="16"/>
      <c r="L4" s="17"/>
      <c r="M4" s="18" t="s">
        <v>5</v>
      </c>
      <c r="N4" s="18"/>
      <c r="O4" s="18"/>
      <c r="P4" s="18"/>
      <c r="Q4" s="18"/>
    </row>
    <row r="5" s="5" customFormat="1" ht="25.05" customHeight="1" spans="1:17">
      <c r="A5" s="19" t="s">
        <v>6</v>
      </c>
      <c r="B5" s="19" t="s">
        <v>7</v>
      </c>
      <c r="C5" s="19" t="s">
        <v>8</v>
      </c>
      <c r="D5" s="19" t="s">
        <v>9</v>
      </c>
      <c r="E5" s="19" t="s">
        <v>10</v>
      </c>
      <c r="F5" s="20" t="s">
        <v>11</v>
      </c>
      <c r="G5" s="19" t="s">
        <v>12</v>
      </c>
      <c r="H5" s="19" t="s">
        <v>13</v>
      </c>
      <c r="I5" s="21" t="s">
        <v>14</v>
      </c>
      <c r="J5" s="21" t="s">
        <v>15</v>
      </c>
      <c r="K5" s="21" t="s">
        <v>16</v>
      </c>
      <c r="L5" s="19" t="s">
        <v>17</v>
      </c>
      <c r="M5" s="19" t="s">
        <v>18</v>
      </c>
      <c r="N5" s="21" t="s">
        <v>19</v>
      </c>
      <c r="O5" s="19" t="s">
        <v>20</v>
      </c>
      <c r="P5" s="19" t="s">
        <v>16</v>
      </c>
      <c r="Q5" s="19" t="s">
        <v>21</v>
      </c>
    </row>
    <row r="6" s="1" customFormat="1" ht="19.05" customHeight="1" spans="1:17">
      <c r="A6" s="19">
        <v>1</v>
      </c>
      <c r="B6" s="90" t="s">
        <v>22</v>
      </c>
      <c r="C6" s="90" t="s">
        <v>23</v>
      </c>
      <c r="D6" s="91">
        <v>4</v>
      </c>
      <c r="E6" s="92" t="s">
        <v>24</v>
      </c>
      <c r="F6" s="92" t="s">
        <v>25</v>
      </c>
      <c r="G6" s="93">
        <v>60000</v>
      </c>
      <c r="H6" s="26">
        <v>70000</v>
      </c>
      <c r="I6" s="93"/>
      <c r="J6" s="94">
        <f t="shared" ref="J6:J11" si="0">+H6*I6</f>
        <v>0</v>
      </c>
      <c r="K6" s="26" t="s">
        <v>26</v>
      </c>
      <c r="L6" s="95">
        <v>10000</v>
      </c>
      <c r="M6" s="28" t="s">
        <v>27</v>
      </c>
      <c r="N6" s="28"/>
      <c r="O6" s="30"/>
      <c r="P6" s="30"/>
      <c r="Q6" s="31"/>
    </row>
    <row r="7" s="1" customFormat="1" ht="19.05" customHeight="1" spans="1:17">
      <c r="A7" s="19">
        <v>2</v>
      </c>
      <c r="B7" s="96" t="s">
        <v>28</v>
      </c>
      <c r="C7" s="96" t="s">
        <v>29</v>
      </c>
      <c r="D7" s="97">
        <v>2</v>
      </c>
      <c r="E7" s="98" t="s">
        <v>24</v>
      </c>
      <c r="F7" s="98" t="s">
        <v>30</v>
      </c>
      <c r="G7" s="93">
        <v>30000</v>
      </c>
      <c r="H7" s="35">
        <v>40000</v>
      </c>
      <c r="I7" s="99"/>
      <c r="J7" s="94">
        <f t="shared" si="0"/>
        <v>0</v>
      </c>
      <c r="K7" s="26" t="s">
        <v>26</v>
      </c>
      <c r="L7" s="95">
        <v>10000</v>
      </c>
      <c r="M7" s="28" t="s">
        <v>27</v>
      </c>
      <c r="N7" s="28"/>
      <c r="O7" s="30"/>
      <c r="P7" s="30"/>
      <c r="Q7" s="31"/>
    </row>
    <row r="8" s="1" customFormat="1" ht="19.05" customHeight="1" spans="1:17">
      <c r="A8" s="19">
        <v>3</v>
      </c>
      <c r="B8" s="90" t="s">
        <v>31</v>
      </c>
      <c r="C8" s="90" t="s">
        <v>32</v>
      </c>
      <c r="D8" s="91">
        <v>10</v>
      </c>
      <c r="E8" s="92" t="s">
        <v>33</v>
      </c>
      <c r="F8" s="92" t="s">
        <v>34</v>
      </c>
      <c r="G8" s="93">
        <v>150000</v>
      </c>
      <c r="H8" s="35">
        <v>160000</v>
      </c>
      <c r="I8" s="93"/>
      <c r="J8" s="94">
        <f t="shared" si="0"/>
        <v>0</v>
      </c>
      <c r="K8" s="26" t="s">
        <v>26</v>
      </c>
      <c r="L8" s="95">
        <v>10000</v>
      </c>
      <c r="M8" s="28" t="s">
        <v>27</v>
      </c>
      <c r="N8" s="28"/>
      <c r="O8" s="30"/>
      <c r="P8" s="30"/>
      <c r="Q8" s="31"/>
    </row>
    <row r="9" s="1" customFormat="1" ht="19.05" customHeight="1" spans="1:17">
      <c r="A9" s="19">
        <v>4</v>
      </c>
      <c r="B9" s="96" t="s">
        <v>35</v>
      </c>
      <c r="C9" s="96" t="s">
        <v>36</v>
      </c>
      <c r="D9" s="97">
        <v>2</v>
      </c>
      <c r="E9" s="98" t="s">
        <v>24</v>
      </c>
      <c r="F9" s="98" t="s">
        <v>37</v>
      </c>
      <c r="G9" s="93">
        <v>30000</v>
      </c>
      <c r="H9" s="35">
        <v>40000</v>
      </c>
      <c r="I9" s="99"/>
      <c r="J9" s="94">
        <f t="shared" si="0"/>
        <v>0</v>
      </c>
      <c r="K9" s="26" t="s">
        <v>26</v>
      </c>
      <c r="L9" s="95">
        <v>10000</v>
      </c>
      <c r="M9" s="28" t="s">
        <v>27</v>
      </c>
      <c r="N9" s="28"/>
      <c r="O9" s="30"/>
      <c r="P9" s="30"/>
      <c r="Q9" s="31"/>
    </row>
    <row r="10" s="1" customFormat="1" ht="19.05" customHeight="1" spans="1:17">
      <c r="A10" s="19">
        <v>5</v>
      </c>
      <c r="B10" s="90" t="s">
        <v>38</v>
      </c>
      <c r="C10" s="90" t="s">
        <v>39</v>
      </c>
      <c r="D10" s="91">
        <v>2</v>
      </c>
      <c r="E10" s="92" t="s">
        <v>33</v>
      </c>
      <c r="F10" s="92" t="s">
        <v>40</v>
      </c>
      <c r="G10" s="93">
        <v>30000</v>
      </c>
      <c r="H10" s="35">
        <v>32000</v>
      </c>
      <c r="I10" s="93"/>
      <c r="J10" s="94">
        <f t="shared" si="0"/>
        <v>0</v>
      </c>
      <c r="K10" s="26" t="s">
        <v>26</v>
      </c>
      <c r="L10" s="95">
        <v>4000</v>
      </c>
      <c r="M10" s="28" t="s">
        <v>27</v>
      </c>
      <c r="N10" s="28"/>
      <c r="O10" s="30"/>
      <c r="P10" s="30"/>
      <c r="Q10" s="31"/>
    </row>
    <row r="11" s="1" customFormat="1" ht="19.05" customHeight="1" spans="1:17">
      <c r="A11" s="19">
        <v>6</v>
      </c>
      <c r="B11" s="96" t="s">
        <v>41</v>
      </c>
      <c r="C11" s="96" t="s">
        <v>42</v>
      </c>
      <c r="D11" s="97">
        <v>2</v>
      </c>
      <c r="E11" s="98" t="s">
        <v>43</v>
      </c>
      <c r="F11" s="100" t="s">
        <v>44</v>
      </c>
      <c r="G11" s="93">
        <v>30000</v>
      </c>
      <c r="H11" s="39">
        <v>31000</v>
      </c>
      <c r="I11" s="99"/>
      <c r="J11" s="94">
        <f t="shared" si="0"/>
        <v>0</v>
      </c>
      <c r="K11" s="26" t="s">
        <v>26</v>
      </c>
      <c r="L11" s="95">
        <v>60000</v>
      </c>
      <c r="M11" s="28" t="s">
        <v>27</v>
      </c>
      <c r="N11" s="28"/>
      <c r="O11" s="30"/>
      <c r="P11" s="30"/>
      <c r="Q11" s="31"/>
    </row>
    <row r="12" s="1" customFormat="1" ht="19.05" customHeight="1" spans="1:17">
      <c r="A12" s="19">
        <v>7</v>
      </c>
      <c r="B12" s="90"/>
      <c r="C12" s="90" t="s">
        <v>45</v>
      </c>
      <c r="D12" s="91">
        <v>0</v>
      </c>
      <c r="E12" s="101"/>
      <c r="F12" s="101"/>
      <c r="G12" s="93">
        <v>0</v>
      </c>
      <c r="H12" s="26"/>
      <c r="I12" s="93"/>
      <c r="J12" s="94"/>
      <c r="K12" s="26"/>
      <c r="L12" s="95"/>
      <c r="M12" s="28"/>
      <c r="N12" s="28"/>
      <c r="O12" s="30"/>
      <c r="P12" s="30"/>
      <c r="Q12" s="31"/>
    </row>
    <row r="13" s="1" customFormat="1" ht="19.05" customHeight="1" spans="1:17">
      <c r="A13" s="19">
        <v>8</v>
      </c>
      <c r="B13" s="96" t="s">
        <v>46</v>
      </c>
      <c r="C13" s="96" t="s">
        <v>47</v>
      </c>
      <c r="D13" s="97">
        <v>2</v>
      </c>
      <c r="E13" s="98" t="s">
        <v>24</v>
      </c>
      <c r="F13" s="98" t="s">
        <v>48</v>
      </c>
      <c r="G13" s="93">
        <v>30000</v>
      </c>
      <c r="H13" s="35">
        <v>40000</v>
      </c>
      <c r="I13" s="99"/>
      <c r="J13" s="94">
        <f t="shared" ref="J13:J16" si="1">+H13*I13</f>
        <v>0</v>
      </c>
      <c r="K13" s="26" t="s">
        <v>26</v>
      </c>
      <c r="L13" s="95">
        <v>10000</v>
      </c>
      <c r="M13" s="28" t="s">
        <v>27</v>
      </c>
      <c r="N13" s="28"/>
      <c r="O13" s="30"/>
      <c r="P13" s="30"/>
      <c r="Q13" s="31"/>
    </row>
    <row r="14" s="1" customFormat="1" ht="19.05" customHeight="1" spans="1:17">
      <c r="A14" s="19">
        <v>9</v>
      </c>
      <c r="B14" s="90" t="s">
        <v>49</v>
      </c>
      <c r="C14" s="90" t="s">
        <v>50</v>
      </c>
      <c r="D14" s="91">
        <v>6</v>
      </c>
      <c r="E14" s="92" t="s">
        <v>24</v>
      </c>
      <c r="F14" s="92" t="s">
        <v>51</v>
      </c>
      <c r="G14" s="93">
        <v>90000</v>
      </c>
      <c r="H14" s="35">
        <v>100000</v>
      </c>
      <c r="I14" s="93"/>
      <c r="J14" s="94">
        <f t="shared" si="1"/>
        <v>0</v>
      </c>
      <c r="K14" s="26" t="s">
        <v>26</v>
      </c>
      <c r="L14" s="95">
        <v>10000</v>
      </c>
      <c r="M14" s="28" t="s">
        <v>27</v>
      </c>
      <c r="N14" s="28"/>
      <c r="O14" s="30"/>
      <c r="P14" s="30"/>
      <c r="Q14" s="31"/>
    </row>
    <row r="15" s="1" customFormat="1" ht="19.05" customHeight="1" spans="1:17">
      <c r="A15" s="19">
        <v>10</v>
      </c>
      <c r="B15" s="96" t="s">
        <v>52</v>
      </c>
      <c r="C15" s="96" t="s">
        <v>53</v>
      </c>
      <c r="D15" s="97">
        <v>1</v>
      </c>
      <c r="E15" s="98" t="s">
        <v>54</v>
      </c>
      <c r="F15" s="100" t="s">
        <v>55</v>
      </c>
      <c r="G15" s="93">
        <v>15000</v>
      </c>
      <c r="H15" s="40">
        <v>15100</v>
      </c>
      <c r="I15" s="99"/>
      <c r="J15" s="94">
        <f t="shared" si="1"/>
        <v>0</v>
      </c>
      <c r="K15" s="26" t="s">
        <v>26</v>
      </c>
      <c r="L15" s="95">
        <v>1000</v>
      </c>
      <c r="M15" s="30"/>
      <c r="N15" s="28"/>
      <c r="O15" s="30"/>
      <c r="P15" s="30"/>
      <c r="Q15" s="31"/>
    </row>
    <row r="16" s="1" customFormat="1" ht="19.05" customHeight="1" spans="1:17">
      <c r="A16" s="19">
        <v>11</v>
      </c>
      <c r="B16" s="102" t="s">
        <v>56</v>
      </c>
      <c r="C16" s="102" t="s">
        <v>57</v>
      </c>
      <c r="D16" s="103">
        <v>2</v>
      </c>
      <c r="E16" s="92" t="s">
        <v>58</v>
      </c>
      <c r="F16" s="92" t="s">
        <v>56</v>
      </c>
      <c r="G16" s="93">
        <v>30000</v>
      </c>
      <c r="H16" s="41">
        <v>30100</v>
      </c>
      <c r="I16" s="93"/>
      <c r="J16" s="94">
        <f t="shared" si="1"/>
        <v>0</v>
      </c>
      <c r="K16" s="26" t="s">
        <v>26</v>
      </c>
      <c r="L16" s="95">
        <v>1500</v>
      </c>
      <c r="M16" s="30"/>
      <c r="N16" s="30"/>
      <c r="O16" s="30"/>
      <c r="P16" s="30"/>
      <c r="Q16" s="31"/>
    </row>
    <row r="17" s="1" customFormat="1" ht="19.05" customHeight="1" spans="1:17">
      <c r="A17" s="19"/>
      <c r="B17" s="104"/>
      <c r="C17" s="105"/>
      <c r="D17" s="106"/>
      <c r="E17" s="104"/>
      <c r="F17" s="104"/>
      <c r="G17" s="35"/>
      <c r="H17" s="35"/>
      <c r="I17" s="107"/>
      <c r="J17" s="94"/>
      <c r="K17" s="26"/>
      <c r="L17" s="95"/>
      <c r="M17" s="30"/>
      <c r="N17" s="28"/>
      <c r="O17" s="30"/>
      <c r="P17" s="30"/>
      <c r="Q17" s="31"/>
    </row>
    <row r="18" s="1" customFormat="1" ht="19.05" customHeight="1" spans="1:17">
      <c r="A18" s="19"/>
      <c r="B18" s="53"/>
      <c r="C18" s="53"/>
      <c r="D18" s="54"/>
      <c r="E18" s="55"/>
      <c r="F18" s="55"/>
      <c r="G18" s="35"/>
      <c r="H18" s="35"/>
      <c r="I18" s="49"/>
      <c r="J18" s="28"/>
      <c r="K18" s="29"/>
      <c r="L18" s="30"/>
      <c r="M18" s="30"/>
      <c r="N18" s="28"/>
      <c r="O18" s="30"/>
      <c r="P18" s="30"/>
      <c r="Q18" s="31"/>
    </row>
    <row r="19" s="1" customFormat="1" ht="19.05" customHeight="1" spans="1:17">
      <c r="A19" s="56" t="s">
        <v>59</v>
      </c>
      <c r="B19" s="57"/>
      <c r="C19" s="57"/>
      <c r="D19" s="57"/>
      <c r="E19" s="57"/>
      <c r="F19" s="57"/>
      <c r="G19" s="58"/>
      <c r="H19" s="30"/>
      <c r="I19" s="28"/>
      <c r="J19" s="28">
        <f>SUM(J6:J18)</f>
        <v>0</v>
      </c>
      <c r="K19" s="28"/>
      <c r="L19" s="30"/>
      <c r="M19" s="30"/>
      <c r="N19" s="28"/>
      <c r="O19" s="30"/>
      <c r="P19" s="30"/>
      <c r="Q19" s="30"/>
    </row>
    <row r="20" ht="19.05" customHeight="1"/>
    <row r="21" s="1" customFormat="1" ht="19.05" customHeight="1" spans="1:17">
      <c r="A21" s="59" t="s">
        <v>60</v>
      </c>
      <c r="B21" s="59"/>
      <c r="C21" s="59"/>
      <c r="D21" s="59"/>
      <c r="E21" s="59"/>
      <c r="G21" s="60" t="s">
        <v>61</v>
      </c>
      <c r="H21" s="61" t="s">
        <v>62</v>
      </c>
      <c r="I21" s="60" t="s">
        <v>63</v>
      </c>
      <c r="J21" s="60" t="s">
        <v>15</v>
      </c>
      <c r="K21" s="60" t="s">
        <v>18</v>
      </c>
      <c r="M21" s="62"/>
    </row>
    <row r="22" s="1" customFormat="1" ht="19.05" customHeight="1" spans="1:17">
      <c r="A22" s="63">
        <v>1</v>
      </c>
      <c r="B22" s="64" t="s">
        <v>64</v>
      </c>
      <c r="C22" s="64"/>
      <c r="D22" s="64"/>
      <c r="E22" s="64"/>
      <c r="G22" s="60" t="s">
        <v>65</v>
      </c>
      <c r="H22" s="60">
        <v>15000</v>
      </c>
      <c r="I22" s="61">
        <f>J22/H22</f>
        <v>0</v>
      </c>
      <c r="J22" s="61">
        <f>+J19</f>
        <v>0</v>
      </c>
      <c r="K22" s="65"/>
      <c r="M22" s="62"/>
    </row>
    <row r="23" s="1" customFormat="1" ht="27" customHeight="1" spans="1:17">
      <c r="A23" s="63">
        <v>2</v>
      </c>
      <c r="B23" s="64" t="s">
        <v>66</v>
      </c>
      <c r="C23" s="64"/>
      <c r="D23" s="64"/>
      <c r="E23" s="64"/>
      <c r="G23" s="60" t="s">
        <v>67</v>
      </c>
      <c r="H23" s="61"/>
      <c r="I23" s="60"/>
      <c r="J23" s="60">
        <f>+$H$22*I23</f>
        <v>0</v>
      </c>
      <c r="K23" s="66"/>
      <c r="M23" s="62"/>
    </row>
    <row r="24" s="1" customFormat="1" ht="19.05" customHeight="1" spans="1:17">
      <c r="A24" s="63">
        <v>3</v>
      </c>
      <c r="B24" s="64" t="s">
        <v>68</v>
      </c>
      <c r="C24" s="64"/>
      <c r="D24" s="64"/>
      <c r="E24" s="64"/>
      <c r="G24" s="60" t="s">
        <v>69</v>
      </c>
      <c r="H24" s="61"/>
      <c r="I24" s="61"/>
      <c r="J24" s="60">
        <f>+$H$22*I24</f>
        <v>0</v>
      </c>
      <c r="K24" s="65"/>
      <c r="M24" s="62"/>
    </row>
    <row r="25" s="1" customFormat="1" ht="19.05" customHeight="1" spans="1:17">
      <c r="A25" s="63">
        <v>4</v>
      </c>
      <c r="B25" s="64" t="s">
        <v>70</v>
      </c>
      <c r="C25" s="64"/>
      <c r="D25" s="64"/>
      <c r="E25" s="64"/>
      <c r="G25" s="60" t="s">
        <v>71</v>
      </c>
      <c r="H25" s="61"/>
      <c r="I25" s="61"/>
      <c r="J25" s="60"/>
      <c r="K25" s="65"/>
      <c r="M25" s="62"/>
      <c r="N25" s="62"/>
    </row>
    <row r="26" s="1" customFormat="1" ht="21" customHeight="1" spans="1:17">
      <c r="A26" s="67"/>
      <c r="B26" s="67"/>
      <c r="C26" s="67"/>
      <c r="D26" s="67"/>
      <c r="E26" s="67"/>
      <c r="G26" s="60" t="s">
        <v>72</v>
      </c>
      <c r="H26" s="61"/>
      <c r="I26" s="61"/>
      <c r="J26" s="60"/>
      <c r="K26" s="65"/>
      <c r="M26" s="62"/>
      <c r="N26" s="62"/>
      <c r="O26" s="7"/>
      <c r="P26" s="7"/>
    </row>
    <row r="27" s="1" customFormat="1" ht="19.05" customHeight="1" spans="1:17">
      <c r="G27" s="60" t="s">
        <v>73</v>
      </c>
      <c r="H27" s="60">
        <v>1</v>
      </c>
      <c r="I27" s="60"/>
      <c r="J27" s="60"/>
      <c r="K27" s="68" t="s">
        <v>74</v>
      </c>
      <c r="M27" s="62"/>
      <c r="N27" s="62"/>
      <c r="O27" s="7"/>
      <c r="P27" s="7"/>
    </row>
    <row r="28" s="1" customFormat="1" ht="19.05" customHeight="1" spans="1:17">
      <c r="G28" s="60" t="s">
        <v>75</v>
      </c>
      <c r="H28" s="60">
        <v>1</v>
      </c>
      <c r="I28" s="60"/>
      <c r="J28" s="60"/>
      <c r="K28" s="65"/>
      <c r="M28" s="62"/>
      <c r="N28" s="62"/>
      <c r="O28" s="7"/>
      <c r="P28" s="7"/>
    </row>
    <row r="29" s="1" customFormat="1" ht="19.05" customHeight="1" spans="1:17">
      <c r="G29" s="60" t="s">
        <v>76</v>
      </c>
      <c r="H29" s="60"/>
      <c r="I29" s="60"/>
      <c r="J29" s="60">
        <f>I29*H29</f>
        <v>0</v>
      </c>
      <c r="K29" s="65"/>
      <c r="M29" s="70"/>
      <c r="N29" s="70"/>
      <c r="O29" s="7"/>
      <c r="P29" s="7"/>
    </row>
    <row r="30" s="1" customFormat="1" ht="19.05" customHeight="1" spans="1:17">
      <c r="G30" s="60" t="s">
        <v>77</v>
      </c>
      <c r="H30" s="61"/>
      <c r="I30" s="61">
        <f>J30/H22</f>
        <v>0</v>
      </c>
      <c r="J30" s="61">
        <f>SUM(J22:J29)</f>
        <v>0</v>
      </c>
      <c r="K30" s="65"/>
      <c r="M30" s="62"/>
      <c r="N30" s="62"/>
      <c r="O30" s="7"/>
      <c r="P30" s="7"/>
    </row>
    <row r="31" s="1" customFormat="1" ht="19.05" customHeight="1" spans="1:17">
      <c r="G31" s="60" t="s">
        <v>78</v>
      </c>
      <c r="H31" s="61"/>
      <c r="I31" s="61">
        <f>I30/6.8</f>
        <v>0</v>
      </c>
      <c r="J31" s="61">
        <f>J30/6.8</f>
        <v>0</v>
      </c>
      <c r="K31" s="65"/>
      <c r="M31" s="62"/>
      <c r="N31" s="62"/>
      <c r="O31" s="7"/>
      <c r="P31" s="7"/>
    </row>
    <row r="32" s="1" customFormat="1" ht="19.05" customHeight="1" spans="1:17">
      <c r="M32" s="62"/>
      <c r="N32" s="62"/>
      <c r="O32" s="7"/>
      <c r="P32" s="7"/>
    </row>
    <row r="33" spans="2:2">
      <c r="B33" s="1"/>
    </row>
    <row r="34" spans="2:2">
      <c r="B34" s="1"/>
    </row>
  </sheetData>
  <mergeCells count="13">
    <mergeCell ref="A1:Q1"/>
    <mergeCell ref="A2:Q2"/>
    <mergeCell ref="A3:B3"/>
    <mergeCell ref="M3:Q3"/>
    <mergeCell ref="A4:F4"/>
    <mergeCell ref="G4:L4"/>
    <mergeCell ref="M4:Q4"/>
    <mergeCell ref="A19:G19"/>
    <mergeCell ref="A21:E21"/>
    <mergeCell ref="B22:E22"/>
    <mergeCell ref="B23:E23"/>
    <mergeCell ref="B24:E24"/>
    <mergeCell ref="B25:E2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5"/>
  <sheetViews>
    <sheetView topLeftCell="C61" workbookViewId="0">
      <selection activeCell="M88" sqref="M88"/>
    </sheetView>
  </sheetViews>
  <sheetFormatPr defaultColWidth="9" defaultRowHeight="12"/>
  <cols>
    <col min="1" max="1" width="5.21296296296296" style="1" customWidth="1"/>
    <col min="2" max="2" width="42.5555555555556" style="6" customWidth="1"/>
    <col min="3" max="3" width="18.7777777777778" style="1" customWidth="1"/>
    <col min="4" max="4" width="5" style="1" customWidth="1"/>
    <col min="5" max="5" width="30.4444444444444" style="1" customWidth="1"/>
    <col min="6" max="6" width="39.8888888888889" style="1" customWidth="1"/>
    <col min="7" max="7" width="13.8796296296296" style="7" customWidth="1"/>
    <col min="8" max="8" width="10.6666666666667" style="7" customWidth="1"/>
    <col min="9" max="10" width="11.1111111111111" style="8" customWidth="1"/>
    <col min="11" max="11" width="15.5555555555556" style="8" customWidth="1"/>
    <col min="12" max="12" width="7.11111111111111" style="7" customWidth="1"/>
    <col min="13" max="13" width="42.8888888888889" style="7" customWidth="1"/>
    <col min="14" max="14" width="17.7777777777778" style="7" customWidth="1"/>
    <col min="15" max="15" width="16.3333333333333" style="8" customWidth="1"/>
    <col min="16" max="16" width="9" style="7"/>
    <col min="17" max="17" width="11.1111111111111" style="1" customWidth="1"/>
    <col min="18" max="16384" width="9" style="1"/>
  </cols>
  <sheetData>
    <row r="1" s="1" customFormat="1" ht="20.4" spans="1:17">
      <c r="A1" s="9" t="s">
        <v>79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="2" customFormat="1" ht="20.4" spans="1:17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="3" customFormat="1" ht="20.4" spans="1:17">
      <c r="A3" s="11" t="s">
        <v>80</v>
      </c>
      <c r="B3" s="11"/>
      <c r="C3" s="12"/>
      <c r="D3" s="12"/>
      <c r="E3" s="12"/>
      <c r="F3" s="12"/>
      <c r="G3" s="12"/>
      <c r="H3" s="12"/>
      <c r="I3" s="12"/>
      <c r="J3" s="12"/>
      <c r="K3" s="12"/>
      <c r="L3" s="12"/>
      <c r="M3" s="13" t="s">
        <v>81</v>
      </c>
      <c r="N3" s="13"/>
      <c r="O3" s="13"/>
      <c r="P3" s="13"/>
      <c r="Q3" s="13"/>
    </row>
    <row r="4" s="4" customFormat="1" ht="19.05" customHeight="1" spans="1:17">
      <c r="A4" s="14" t="s">
        <v>3</v>
      </c>
      <c r="B4" s="14"/>
      <c r="C4" s="14"/>
      <c r="D4" s="14"/>
      <c r="E4" s="14"/>
      <c r="F4" s="14"/>
      <c r="G4" s="15" t="s">
        <v>4</v>
      </c>
      <c r="H4" s="16"/>
      <c r="I4" s="16"/>
      <c r="J4" s="16"/>
      <c r="K4" s="16"/>
      <c r="L4" s="17"/>
      <c r="M4" s="18" t="s">
        <v>5</v>
      </c>
      <c r="N4" s="18"/>
      <c r="O4" s="18"/>
      <c r="P4" s="18"/>
      <c r="Q4" s="18"/>
    </row>
    <row r="5" s="5" customFormat="1" ht="25.05" customHeight="1" spans="1:17">
      <c r="A5" s="19" t="s">
        <v>6</v>
      </c>
      <c r="B5" s="19" t="s">
        <v>7</v>
      </c>
      <c r="C5" s="19" t="s">
        <v>8</v>
      </c>
      <c r="D5" s="19" t="s">
        <v>9</v>
      </c>
      <c r="E5" s="19" t="s">
        <v>10</v>
      </c>
      <c r="F5" s="20" t="s">
        <v>11</v>
      </c>
      <c r="G5" s="19" t="s">
        <v>12</v>
      </c>
      <c r="H5" s="19" t="s">
        <v>13</v>
      </c>
      <c r="I5" s="21" t="s">
        <v>14</v>
      </c>
      <c r="J5" s="21" t="s">
        <v>15</v>
      </c>
      <c r="K5" s="21" t="s">
        <v>16</v>
      </c>
      <c r="L5" s="19" t="s">
        <v>17</v>
      </c>
      <c r="M5" s="19" t="s">
        <v>18</v>
      </c>
      <c r="N5" s="21" t="s">
        <v>19</v>
      </c>
      <c r="O5" s="19" t="s">
        <v>20</v>
      </c>
      <c r="P5" s="19" t="s">
        <v>16</v>
      </c>
      <c r="Q5" s="19" t="s">
        <v>21</v>
      </c>
    </row>
    <row r="6" s="1" customFormat="1" ht="19.05" customHeight="1" spans="1:17">
      <c r="A6" s="19">
        <v>1</v>
      </c>
      <c r="B6" s="32" t="s">
        <v>82</v>
      </c>
      <c r="C6" s="32" t="s">
        <v>83</v>
      </c>
      <c r="D6" s="33">
        <v>1</v>
      </c>
      <c r="E6" s="32" t="s">
        <v>84</v>
      </c>
      <c r="F6" s="32" t="s">
        <v>82</v>
      </c>
      <c r="G6" s="26">
        <v>15000</v>
      </c>
      <c r="H6" s="26">
        <v>15300</v>
      </c>
      <c r="I6" s="73"/>
      <c r="J6" s="28">
        <f t="shared" ref="J6:J69" si="0">+H6*I6</f>
        <v>0</v>
      </c>
      <c r="K6" s="29" t="s">
        <v>26</v>
      </c>
      <c r="L6" s="30">
        <v>1000</v>
      </c>
      <c r="M6" s="30"/>
      <c r="N6" s="28"/>
      <c r="O6" s="30"/>
      <c r="P6" s="30"/>
      <c r="Q6" s="31"/>
    </row>
    <row r="7" s="1" customFormat="1" ht="19.05" customHeight="1" spans="1:17">
      <c r="A7" s="19">
        <v>2</v>
      </c>
      <c r="B7" s="22" t="s">
        <v>85</v>
      </c>
      <c r="C7" s="22" t="s">
        <v>86</v>
      </c>
      <c r="D7" s="23">
        <v>1</v>
      </c>
      <c r="E7" s="22" t="s">
        <v>87</v>
      </c>
      <c r="F7" s="22" t="s">
        <v>85</v>
      </c>
      <c r="G7" s="35">
        <v>15000</v>
      </c>
      <c r="H7" s="35">
        <v>15050</v>
      </c>
      <c r="I7" s="74"/>
      <c r="J7" s="28">
        <f t="shared" si="0"/>
        <v>0</v>
      </c>
      <c r="K7" s="29" t="s">
        <v>26</v>
      </c>
      <c r="L7" s="30">
        <v>25</v>
      </c>
      <c r="M7" s="30"/>
      <c r="N7" s="28"/>
      <c r="O7" s="30"/>
      <c r="P7" s="30"/>
      <c r="Q7" s="31"/>
    </row>
    <row r="8" s="1" customFormat="1" ht="19.05" customHeight="1" spans="1:17">
      <c r="A8" s="19">
        <v>3</v>
      </c>
      <c r="B8" s="32" t="s">
        <v>88</v>
      </c>
      <c r="C8" s="32" t="s">
        <v>89</v>
      </c>
      <c r="D8" s="33">
        <v>2</v>
      </c>
      <c r="E8" s="32" t="s">
        <v>90</v>
      </c>
      <c r="F8" s="32" t="s">
        <v>91</v>
      </c>
      <c r="G8" s="35">
        <v>30000</v>
      </c>
      <c r="H8" s="35">
        <v>30600</v>
      </c>
      <c r="I8" s="73"/>
      <c r="J8" s="28">
        <f t="shared" si="0"/>
        <v>0</v>
      </c>
      <c r="K8" s="29" t="s">
        <v>26</v>
      </c>
      <c r="L8" s="30">
        <v>900</v>
      </c>
      <c r="M8" s="30"/>
      <c r="N8" s="28"/>
      <c r="O8" s="30"/>
      <c r="P8" s="30"/>
      <c r="Q8" s="31"/>
    </row>
    <row r="9" s="1" customFormat="1" ht="19.05" customHeight="1" spans="1:17">
      <c r="A9" s="19">
        <v>4</v>
      </c>
      <c r="B9" s="22" t="s">
        <v>92</v>
      </c>
      <c r="C9" s="22" t="s">
        <v>93</v>
      </c>
      <c r="D9" s="23">
        <v>1</v>
      </c>
      <c r="E9" s="22" t="s">
        <v>94</v>
      </c>
      <c r="F9" s="22" t="s">
        <v>95</v>
      </c>
      <c r="G9" s="35">
        <v>15000</v>
      </c>
      <c r="H9" s="35">
        <v>15500</v>
      </c>
      <c r="I9" s="75"/>
      <c r="J9" s="28">
        <f t="shared" si="0"/>
        <v>0</v>
      </c>
      <c r="K9" s="29" t="s">
        <v>26</v>
      </c>
      <c r="L9" s="30">
        <v>1000</v>
      </c>
      <c r="M9" s="30"/>
      <c r="N9" s="28"/>
      <c r="O9" s="30"/>
      <c r="P9" s="30"/>
      <c r="Q9" s="31"/>
    </row>
    <row r="10" s="1" customFormat="1" ht="19.05" customHeight="1" spans="1:17">
      <c r="A10" s="19">
        <v>5</v>
      </c>
      <c r="B10" s="32" t="s">
        <v>96</v>
      </c>
      <c r="C10" s="32" t="s">
        <v>97</v>
      </c>
      <c r="D10" s="33">
        <v>7</v>
      </c>
      <c r="E10" s="34" t="s">
        <v>33</v>
      </c>
      <c r="F10" s="36" t="s">
        <v>98</v>
      </c>
      <c r="G10" s="35">
        <v>105000</v>
      </c>
      <c r="H10" s="35">
        <v>110000</v>
      </c>
      <c r="I10" s="75"/>
      <c r="J10" s="28">
        <f t="shared" si="0"/>
        <v>0</v>
      </c>
      <c r="K10" s="29" t="s">
        <v>26</v>
      </c>
      <c r="L10" s="30">
        <v>10000</v>
      </c>
      <c r="M10" s="30" t="s">
        <v>27</v>
      </c>
      <c r="N10" s="28"/>
      <c r="O10" s="30"/>
      <c r="P10" s="30"/>
      <c r="Q10" s="31"/>
    </row>
    <row r="11" s="1" customFormat="1" ht="19.05" customHeight="1" spans="1:17">
      <c r="A11" s="19">
        <v>6</v>
      </c>
      <c r="B11" s="22" t="s">
        <v>99</v>
      </c>
      <c r="C11" s="22" t="s">
        <v>100</v>
      </c>
      <c r="D11" s="23">
        <v>2</v>
      </c>
      <c r="E11" s="76" t="s">
        <v>101</v>
      </c>
      <c r="F11" s="77" t="s">
        <v>102</v>
      </c>
      <c r="G11" s="78">
        <v>30000</v>
      </c>
      <c r="H11" s="39">
        <v>32000</v>
      </c>
      <c r="I11" s="75"/>
      <c r="J11" s="28">
        <f t="shared" si="0"/>
        <v>0</v>
      </c>
      <c r="K11" s="29" t="s">
        <v>26</v>
      </c>
      <c r="L11" s="30">
        <v>4000</v>
      </c>
      <c r="M11" s="30" t="s">
        <v>27</v>
      </c>
      <c r="N11" s="28"/>
      <c r="O11" s="30"/>
      <c r="P11" s="30"/>
      <c r="Q11" s="31"/>
    </row>
    <row r="12" s="1" customFormat="1" ht="19.05" customHeight="1" spans="1:17">
      <c r="A12" s="19">
        <v>7</v>
      </c>
      <c r="B12" s="32" t="s">
        <v>103</v>
      </c>
      <c r="C12" s="32" t="s">
        <v>104</v>
      </c>
      <c r="D12" s="33">
        <v>2</v>
      </c>
      <c r="E12" s="34" t="s">
        <v>105</v>
      </c>
      <c r="F12" s="34" t="s">
        <v>106</v>
      </c>
      <c r="G12" s="79">
        <v>30000</v>
      </c>
      <c r="H12" s="26">
        <v>40000</v>
      </c>
      <c r="I12" s="75"/>
      <c r="J12" s="28">
        <f t="shared" si="0"/>
        <v>0</v>
      </c>
      <c r="K12" s="29" t="s">
        <v>26</v>
      </c>
      <c r="L12" s="30">
        <v>10000</v>
      </c>
      <c r="M12" s="30" t="s">
        <v>27</v>
      </c>
      <c r="N12" s="28"/>
      <c r="O12" s="30"/>
      <c r="P12" s="30"/>
      <c r="Q12" s="31"/>
    </row>
    <row r="13" s="1" customFormat="1" ht="19.05" customHeight="1" spans="1:17">
      <c r="A13" s="19">
        <v>8</v>
      </c>
      <c r="B13" s="22" t="s">
        <v>107</v>
      </c>
      <c r="C13" s="22" t="s">
        <v>108</v>
      </c>
      <c r="D13" s="23">
        <v>2</v>
      </c>
      <c r="E13" s="24" t="s">
        <v>33</v>
      </c>
      <c r="F13" s="24" t="s">
        <v>40</v>
      </c>
      <c r="G13" s="41">
        <v>30000</v>
      </c>
      <c r="H13" s="35">
        <v>32000</v>
      </c>
      <c r="I13" s="75"/>
      <c r="J13" s="28">
        <f t="shared" si="0"/>
        <v>0</v>
      </c>
      <c r="K13" s="29" t="s">
        <v>26</v>
      </c>
      <c r="L13" s="30">
        <v>4000</v>
      </c>
      <c r="M13" s="30" t="s">
        <v>27</v>
      </c>
      <c r="N13" s="28"/>
      <c r="O13" s="30"/>
      <c r="P13" s="30"/>
      <c r="Q13" s="31"/>
    </row>
    <row r="14" s="1" customFormat="1" ht="19.05" customHeight="1" spans="1:17">
      <c r="A14" s="19">
        <v>9</v>
      </c>
      <c r="B14" s="32" t="s">
        <v>109</v>
      </c>
      <c r="C14" s="32" t="s">
        <v>110</v>
      </c>
      <c r="D14" s="33">
        <v>2</v>
      </c>
      <c r="E14" s="34" t="s">
        <v>24</v>
      </c>
      <c r="F14" s="34" t="s">
        <v>111</v>
      </c>
      <c r="G14" s="41">
        <v>30000</v>
      </c>
      <c r="H14" s="35">
        <v>40000</v>
      </c>
      <c r="I14" s="75"/>
      <c r="J14" s="28">
        <f t="shared" si="0"/>
        <v>0</v>
      </c>
      <c r="K14" s="29" t="s">
        <v>26</v>
      </c>
      <c r="L14" s="30">
        <v>10000</v>
      </c>
      <c r="M14" s="30" t="s">
        <v>27</v>
      </c>
      <c r="N14" s="28"/>
      <c r="O14" s="30"/>
      <c r="P14" s="30"/>
      <c r="Q14" s="31"/>
    </row>
    <row r="15" s="1" customFormat="1" ht="19.05" customHeight="1" spans="1:17">
      <c r="A15" s="19">
        <v>10</v>
      </c>
      <c r="B15" s="22" t="s">
        <v>112</v>
      </c>
      <c r="C15" s="22" t="s">
        <v>113</v>
      </c>
      <c r="D15" s="23">
        <v>1</v>
      </c>
      <c r="E15" s="22" t="s">
        <v>114</v>
      </c>
      <c r="F15" s="22" t="s">
        <v>115</v>
      </c>
      <c r="G15" s="41">
        <v>15000</v>
      </c>
      <c r="H15" s="40">
        <v>15500</v>
      </c>
      <c r="I15" s="75"/>
      <c r="J15" s="28">
        <f t="shared" si="0"/>
        <v>0</v>
      </c>
      <c r="K15" s="29" t="s">
        <v>26</v>
      </c>
      <c r="L15" s="30">
        <v>1000</v>
      </c>
      <c r="M15" s="30"/>
      <c r="N15" s="28"/>
      <c r="O15" s="30"/>
      <c r="P15" s="30"/>
      <c r="Q15" s="31"/>
    </row>
    <row r="16" s="1" customFormat="1" ht="19.05" customHeight="1" spans="1:17">
      <c r="A16" s="19">
        <v>11</v>
      </c>
      <c r="B16" s="32" t="s">
        <v>116</v>
      </c>
      <c r="C16" s="32" t="s">
        <v>117</v>
      </c>
      <c r="D16" s="33">
        <v>1</v>
      </c>
      <c r="E16" s="32" t="s">
        <v>118</v>
      </c>
      <c r="F16" s="32" t="s">
        <v>119</v>
      </c>
      <c r="G16" s="41">
        <v>15000</v>
      </c>
      <c r="H16" s="41">
        <v>18000</v>
      </c>
      <c r="I16" s="75"/>
      <c r="J16" s="28">
        <f t="shared" si="0"/>
        <v>0</v>
      </c>
      <c r="K16" s="29" t="s">
        <v>26</v>
      </c>
      <c r="L16" s="30">
        <v>3000</v>
      </c>
      <c r="M16" s="30" t="s">
        <v>27</v>
      </c>
      <c r="N16" s="28"/>
      <c r="O16" s="30"/>
      <c r="P16" s="30"/>
      <c r="Q16" s="31"/>
    </row>
    <row r="17" s="1" customFormat="1" ht="19.05" customHeight="1" spans="1:17">
      <c r="A17" s="19">
        <v>12</v>
      </c>
      <c r="B17" s="22" t="s">
        <v>120</v>
      </c>
      <c r="C17" s="22" t="s">
        <v>121</v>
      </c>
      <c r="D17" s="23">
        <v>1</v>
      </c>
      <c r="E17" s="22" t="s">
        <v>122</v>
      </c>
      <c r="F17" s="22" t="s">
        <v>123</v>
      </c>
      <c r="G17" s="41">
        <v>15000</v>
      </c>
      <c r="H17" s="41">
        <v>16000</v>
      </c>
      <c r="I17" s="75"/>
      <c r="J17" s="28">
        <f t="shared" si="0"/>
        <v>0</v>
      </c>
      <c r="K17" s="29" t="s">
        <v>26</v>
      </c>
      <c r="L17" s="30">
        <v>4000</v>
      </c>
      <c r="M17" s="30" t="s">
        <v>27</v>
      </c>
      <c r="N17" s="28"/>
      <c r="O17" s="30"/>
      <c r="P17" s="30"/>
      <c r="Q17" s="31"/>
    </row>
    <row r="18" s="1" customFormat="1" ht="19.05" customHeight="1" spans="1:17">
      <c r="A18" s="19">
        <v>13</v>
      </c>
      <c r="B18" s="32" t="s">
        <v>99</v>
      </c>
      <c r="C18" s="32" t="s">
        <v>124</v>
      </c>
      <c r="D18" s="33">
        <v>1</v>
      </c>
      <c r="E18" s="34" t="s">
        <v>24</v>
      </c>
      <c r="F18" s="34" t="s">
        <v>125</v>
      </c>
      <c r="G18" s="41">
        <v>15000</v>
      </c>
      <c r="H18" s="41">
        <v>20000</v>
      </c>
      <c r="I18" s="75"/>
      <c r="J18" s="28">
        <f t="shared" si="0"/>
        <v>0</v>
      </c>
      <c r="K18" s="29" t="s">
        <v>26</v>
      </c>
      <c r="L18" s="30">
        <v>10000</v>
      </c>
      <c r="M18" s="30" t="s">
        <v>27</v>
      </c>
      <c r="N18" s="28"/>
      <c r="O18" s="30"/>
      <c r="P18" s="30"/>
      <c r="Q18" s="31"/>
    </row>
    <row r="19" s="1" customFormat="1" ht="19.05" customHeight="1" spans="1:17">
      <c r="A19" s="19">
        <v>14</v>
      </c>
      <c r="B19" s="22" t="s">
        <v>112</v>
      </c>
      <c r="C19" s="22" t="s">
        <v>126</v>
      </c>
      <c r="D19" s="23">
        <v>2</v>
      </c>
      <c r="E19" s="22" t="s">
        <v>33</v>
      </c>
      <c r="F19" s="22" t="s">
        <v>127</v>
      </c>
      <c r="G19" s="40">
        <v>30000</v>
      </c>
      <c r="H19" s="40">
        <v>32000</v>
      </c>
      <c r="I19" s="75"/>
      <c r="J19" s="28">
        <f t="shared" si="0"/>
        <v>0</v>
      </c>
      <c r="K19" s="29" t="s">
        <v>26</v>
      </c>
      <c r="L19" s="30">
        <v>4000</v>
      </c>
      <c r="M19" s="30" t="s">
        <v>27</v>
      </c>
      <c r="N19" s="28"/>
      <c r="O19" s="30"/>
      <c r="P19" s="30"/>
      <c r="Q19" s="31"/>
    </row>
    <row r="20" s="1" customFormat="1" ht="19.05" customHeight="1" spans="1:17">
      <c r="A20" s="19">
        <v>15</v>
      </c>
      <c r="B20" s="32" t="s">
        <v>128</v>
      </c>
      <c r="C20" s="32" t="s">
        <v>129</v>
      </c>
      <c r="D20" s="33">
        <v>3</v>
      </c>
      <c r="E20" s="32" t="s">
        <v>33</v>
      </c>
      <c r="F20" s="32" t="s">
        <v>130</v>
      </c>
      <c r="G20" s="41">
        <v>45000</v>
      </c>
      <c r="H20" s="41">
        <v>50000</v>
      </c>
      <c r="I20" s="75"/>
      <c r="J20" s="28">
        <f t="shared" si="0"/>
        <v>0</v>
      </c>
      <c r="K20" s="29" t="s">
        <v>26</v>
      </c>
      <c r="L20" s="30">
        <v>10000</v>
      </c>
      <c r="M20" s="30" t="s">
        <v>27</v>
      </c>
      <c r="N20" s="28"/>
      <c r="O20" s="30"/>
      <c r="P20" s="30"/>
      <c r="Q20" s="31"/>
    </row>
    <row r="21" s="1" customFormat="1" ht="19.05" customHeight="1" spans="1:17">
      <c r="A21" s="19">
        <v>16</v>
      </c>
      <c r="B21" s="22" t="s">
        <v>131</v>
      </c>
      <c r="C21" s="22" t="s">
        <v>132</v>
      </c>
      <c r="D21" s="23">
        <v>1</v>
      </c>
      <c r="E21" s="22" t="s">
        <v>105</v>
      </c>
      <c r="F21" s="22" t="s">
        <v>133</v>
      </c>
      <c r="G21" s="41">
        <v>15000</v>
      </c>
      <c r="H21" s="41">
        <v>20000</v>
      </c>
      <c r="I21" s="75"/>
      <c r="J21" s="28">
        <f t="shared" si="0"/>
        <v>0</v>
      </c>
      <c r="K21" s="29" t="s">
        <v>26</v>
      </c>
      <c r="L21" s="30">
        <v>10000</v>
      </c>
      <c r="M21" s="30" t="s">
        <v>27</v>
      </c>
      <c r="N21" s="28"/>
      <c r="O21" s="30"/>
      <c r="P21" s="30"/>
      <c r="Q21" s="31"/>
    </row>
    <row r="22" s="1" customFormat="1" ht="19.05" customHeight="1" spans="1:17">
      <c r="A22" s="19">
        <v>17</v>
      </c>
      <c r="B22" s="32" t="s">
        <v>107</v>
      </c>
      <c r="C22" s="32" t="s">
        <v>134</v>
      </c>
      <c r="D22" s="33">
        <v>1</v>
      </c>
      <c r="E22" s="34" t="s">
        <v>33</v>
      </c>
      <c r="F22" s="34" t="s">
        <v>135</v>
      </c>
      <c r="G22" s="41">
        <v>15000</v>
      </c>
      <c r="H22" s="41">
        <v>18000</v>
      </c>
      <c r="I22" s="75"/>
      <c r="J22" s="28">
        <f t="shared" si="0"/>
        <v>0</v>
      </c>
      <c r="K22" s="29" t="s">
        <v>26</v>
      </c>
      <c r="L22" s="30">
        <v>3000</v>
      </c>
      <c r="M22" s="30" t="s">
        <v>27</v>
      </c>
      <c r="N22" s="28"/>
      <c r="O22" s="30"/>
      <c r="P22" s="30"/>
      <c r="Q22" s="31"/>
    </row>
    <row r="23" s="1" customFormat="1" ht="19.05" customHeight="1" spans="1:17">
      <c r="A23" s="19">
        <v>18</v>
      </c>
      <c r="B23" s="22" t="s">
        <v>109</v>
      </c>
      <c r="C23" s="22" t="s">
        <v>136</v>
      </c>
      <c r="D23" s="23">
        <v>1</v>
      </c>
      <c r="E23" s="22" t="s">
        <v>137</v>
      </c>
      <c r="F23" s="22" t="s">
        <v>138</v>
      </c>
      <c r="G23" s="41">
        <v>15000</v>
      </c>
      <c r="H23" s="41">
        <v>16000</v>
      </c>
      <c r="I23" s="75"/>
      <c r="J23" s="28">
        <f t="shared" si="0"/>
        <v>0</v>
      </c>
      <c r="K23" s="29" t="s">
        <v>26</v>
      </c>
      <c r="L23" s="30">
        <v>2000</v>
      </c>
      <c r="M23" s="30" t="s">
        <v>27</v>
      </c>
      <c r="N23" s="28"/>
      <c r="O23" s="30"/>
      <c r="P23" s="30"/>
      <c r="Q23" s="31"/>
    </row>
    <row r="24" s="1" customFormat="1" ht="19.05" customHeight="1" spans="1:17">
      <c r="A24" s="19">
        <v>19</v>
      </c>
      <c r="B24" s="32" t="s">
        <v>107</v>
      </c>
      <c r="C24" s="32" t="s">
        <v>139</v>
      </c>
      <c r="D24" s="33">
        <v>3</v>
      </c>
      <c r="E24" s="32" t="s">
        <v>105</v>
      </c>
      <c r="F24" s="32" t="s">
        <v>140</v>
      </c>
      <c r="G24" s="35">
        <v>45000</v>
      </c>
      <c r="H24" s="41">
        <v>45500</v>
      </c>
      <c r="I24" s="75"/>
      <c r="J24" s="28">
        <f t="shared" si="0"/>
        <v>0</v>
      </c>
      <c r="K24" s="29" t="s">
        <v>26</v>
      </c>
      <c r="L24" s="30">
        <v>1000</v>
      </c>
      <c r="M24" s="30"/>
      <c r="N24" s="28"/>
      <c r="O24" s="30"/>
      <c r="P24" s="30"/>
      <c r="Q24" s="31"/>
    </row>
    <row r="25" s="1" customFormat="1" ht="19.05" customHeight="1" spans="1:17">
      <c r="A25" s="19">
        <v>20</v>
      </c>
      <c r="B25" s="22" t="s">
        <v>141</v>
      </c>
      <c r="C25" s="22" t="s">
        <v>142</v>
      </c>
      <c r="D25" s="23">
        <v>1</v>
      </c>
      <c r="E25" s="22" t="s">
        <v>90</v>
      </c>
      <c r="F25" s="22" t="s">
        <v>143</v>
      </c>
      <c r="G25" s="35">
        <v>15000</v>
      </c>
      <c r="H25" s="41">
        <v>15500</v>
      </c>
      <c r="I25" s="75"/>
      <c r="J25" s="28">
        <f t="shared" si="0"/>
        <v>0</v>
      </c>
      <c r="K25" s="29" t="s">
        <v>26</v>
      </c>
      <c r="L25" s="30">
        <v>1000</v>
      </c>
      <c r="M25" s="30"/>
      <c r="N25" s="28"/>
      <c r="O25" s="30"/>
      <c r="P25" s="30"/>
      <c r="Q25" s="31"/>
    </row>
    <row r="26" s="1" customFormat="1" ht="19.05" customHeight="1" spans="1:17">
      <c r="A26" s="19">
        <v>21</v>
      </c>
      <c r="B26" s="32" t="s">
        <v>144</v>
      </c>
      <c r="C26" s="32" t="s">
        <v>145</v>
      </c>
      <c r="D26" s="33">
        <v>1</v>
      </c>
      <c r="E26" s="32" t="s">
        <v>146</v>
      </c>
      <c r="F26" s="32" t="s">
        <v>147</v>
      </c>
      <c r="G26" s="35">
        <v>15000</v>
      </c>
      <c r="H26" s="41">
        <v>15500</v>
      </c>
      <c r="I26" s="80"/>
      <c r="J26" s="28">
        <f t="shared" si="0"/>
        <v>0</v>
      </c>
      <c r="K26" s="29" t="s">
        <v>26</v>
      </c>
      <c r="L26" s="30">
        <v>500</v>
      </c>
      <c r="M26" s="30" t="s">
        <v>27</v>
      </c>
      <c r="N26" s="28"/>
      <c r="O26" s="30"/>
      <c r="P26" s="30"/>
      <c r="Q26" s="31"/>
    </row>
    <row r="27" s="1" customFormat="1" ht="19.05" customHeight="1" spans="1:17">
      <c r="A27" s="19">
        <v>22</v>
      </c>
      <c r="B27" s="22" t="s">
        <v>148</v>
      </c>
      <c r="C27" s="22" t="s">
        <v>149</v>
      </c>
      <c r="D27" s="23">
        <v>2</v>
      </c>
      <c r="E27" s="22" t="s">
        <v>150</v>
      </c>
      <c r="F27" s="22" t="s">
        <v>148</v>
      </c>
      <c r="G27" s="35">
        <v>30000</v>
      </c>
      <c r="H27" s="40">
        <v>31000</v>
      </c>
      <c r="I27" s="81"/>
      <c r="J27" s="28">
        <f t="shared" si="0"/>
        <v>0</v>
      </c>
      <c r="K27" s="29" t="s">
        <v>26</v>
      </c>
      <c r="L27" s="30">
        <v>1000</v>
      </c>
      <c r="M27" s="30" t="s">
        <v>27</v>
      </c>
      <c r="N27" s="28"/>
      <c r="O27" s="30"/>
      <c r="P27" s="30"/>
      <c r="Q27" s="31"/>
    </row>
    <row r="28" s="1" customFormat="1" ht="19.05" customHeight="1" spans="1:17">
      <c r="A28" s="19">
        <v>23</v>
      </c>
      <c r="B28" s="32" t="s">
        <v>151</v>
      </c>
      <c r="C28" s="32" t="s">
        <v>152</v>
      </c>
      <c r="D28" s="33">
        <v>1</v>
      </c>
      <c r="E28" s="32" t="s">
        <v>153</v>
      </c>
      <c r="F28" s="32" t="s">
        <v>151</v>
      </c>
      <c r="G28" s="35">
        <v>15000</v>
      </c>
      <c r="H28" s="41">
        <v>15500</v>
      </c>
      <c r="I28" s="82"/>
      <c r="J28" s="28">
        <f t="shared" si="0"/>
        <v>0</v>
      </c>
      <c r="K28" s="29" t="s">
        <v>26</v>
      </c>
      <c r="L28" s="30">
        <v>3000</v>
      </c>
      <c r="M28" s="30"/>
      <c r="N28" s="28"/>
      <c r="O28" s="30"/>
      <c r="P28" s="30"/>
      <c r="Q28" s="31"/>
    </row>
    <row r="29" s="1" customFormat="1" ht="19.05" customHeight="1" spans="1:17">
      <c r="A29" s="19">
        <v>24</v>
      </c>
      <c r="B29" s="22" t="s">
        <v>154</v>
      </c>
      <c r="C29" s="22" t="s">
        <v>155</v>
      </c>
      <c r="D29" s="23">
        <v>1</v>
      </c>
      <c r="E29" s="22" t="s">
        <v>156</v>
      </c>
      <c r="F29" s="22" t="s">
        <v>154</v>
      </c>
      <c r="G29" s="35">
        <v>15000</v>
      </c>
      <c r="H29" s="41">
        <v>15300</v>
      </c>
      <c r="I29" s="81"/>
      <c r="J29" s="28">
        <f t="shared" si="0"/>
        <v>0</v>
      </c>
      <c r="K29" s="29" t="s">
        <v>26</v>
      </c>
      <c r="L29" s="30">
        <v>1000</v>
      </c>
      <c r="M29" s="30"/>
      <c r="N29" s="28"/>
      <c r="O29" s="30"/>
      <c r="P29" s="30"/>
      <c r="Q29" s="31"/>
    </row>
    <row r="30" s="1" customFormat="1" ht="19.05" customHeight="1" spans="1:17">
      <c r="A30" s="19">
        <v>25</v>
      </c>
      <c r="B30" s="32" t="s">
        <v>157</v>
      </c>
      <c r="C30" s="32" t="s">
        <v>158</v>
      </c>
      <c r="D30" s="33">
        <v>1</v>
      </c>
      <c r="E30" s="32" t="s">
        <v>159</v>
      </c>
      <c r="F30" s="32" t="s">
        <v>157</v>
      </c>
      <c r="G30" s="35">
        <v>15000</v>
      </c>
      <c r="H30" s="41">
        <v>15050</v>
      </c>
      <c r="I30" s="75"/>
      <c r="J30" s="28">
        <f t="shared" si="0"/>
        <v>0</v>
      </c>
      <c r="K30" s="29" t="s">
        <v>26</v>
      </c>
      <c r="L30" s="30">
        <v>500</v>
      </c>
      <c r="M30" s="30"/>
      <c r="N30" s="28"/>
      <c r="O30" s="30"/>
      <c r="P30" s="30"/>
      <c r="Q30" s="31"/>
    </row>
    <row r="31" s="1" customFormat="1" ht="19.05" customHeight="1" spans="1:17">
      <c r="A31" s="19">
        <v>26</v>
      </c>
      <c r="B31" s="22" t="s">
        <v>160</v>
      </c>
      <c r="C31" s="22" t="s">
        <v>161</v>
      </c>
      <c r="D31" s="23">
        <v>2</v>
      </c>
      <c r="E31" s="22" t="s">
        <v>162</v>
      </c>
      <c r="F31" s="22" t="s">
        <v>160</v>
      </c>
      <c r="G31" s="35">
        <v>30000</v>
      </c>
      <c r="H31" s="41">
        <v>30100</v>
      </c>
      <c r="I31" s="75"/>
      <c r="J31" s="28">
        <f t="shared" si="0"/>
        <v>0</v>
      </c>
      <c r="K31" s="29" t="s">
        <v>26</v>
      </c>
      <c r="L31" s="30">
        <v>1000</v>
      </c>
      <c r="M31" s="30" t="s">
        <v>163</v>
      </c>
      <c r="N31" s="28"/>
      <c r="O31" s="30"/>
      <c r="P31" s="30"/>
      <c r="Q31" s="31"/>
    </row>
    <row r="32" s="1" customFormat="1" ht="19.05" customHeight="1" spans="1:17">
      <c r="A32" s="19">
        <v>27</v>
      </c>
      <c r="B32" s="32" t="s">
        <v>164</v>
      </c>
      <c r="C32" s="32" t="s">
        <v>165</v>
      </c>
      <c r="D32" s="33">
        <v>1</v>
      </c>
      <c r="E32" s="32" t="s">
        <v>166</v>
      </c>
      <c r="F32" s="32" t="s">
        <v>167</v>
      </c>
      <c r="G32" s="35">
        <v>15000</v>
      </c>
      <c r="H32" s="41">
        <v>15050</v>
      </c>
      <c r="I32" s="75"/>
      <c r="J32" s="28">
        <f t="shared" si="0"/>
        <v>0</v>
      </c>
      <c r="K32" s="29" t="s">
        <v>26</v>
      </c>
      <c r="L32" s="30">
        <v>200</v>
      </c>
      <c r="M32" s="30"/>
      <c r="N32" s="28"/>
      <c r="O32" s="30"/>
      <c r="P32" s="30"/>
      <c r="Q32" s="31"/>
    </row>
    <row r="33" s="1" customFormat="1" ht="19.05" customHeight="1" spans="1:17">
      <c r="A33" s="19">
        <v>28</v>
      </c>
      <c r="B33" s="22" t="s">
        <v>168</v>
      </c>
      <c r="C33" s="22" t="s">
        <v>169</v>
      </c>
      <c r="D33" s="23">
        <v>1</v>
      </c>
      <c r="E33" s="22" t="s">
        <v>170</v>
      </c>
      <c r="F33" s="22" t="s">
        <v>168</v>
      </c>
      <c r="G33" s="35">
        <v>15000</v>
      </c>
      <c r="H33" s="41">
        <v>15050</v>
      </c>
      <c r="I33" s="75"/>
      <c r="J33" s="28">
        <f t="shared" si="0"/>
        <v>0</v>
      </c>
      <c r="K33" s="29" t="s">
        <v>26</v>
      </c>
      <c r="L33" s="30">
        <v>5000</v>
      </c>
      <c r="M33" s="30"/>
      <c r="N33" s="28"/>
      <c r="O33" s="30"/>
      <c r="P33" s="30"/>
      <c r="Q33" s="31"/>
    </row>
    <row r="34" s="1" customFormat="1" ht="19.05" customHeight="1" spans="1:17">
      <c r="A34" s="19">
        <v>29</v>
      </c>
      <c r="B34" s="32" t="s">
        <v>171</v>
      </c>
      <c r="C34" s="32" t="s">
        <v>172</v>
      </c>
      <c r="D34" s="33">
        <v>1</v>
      </c>
      <c r="E34" s="32" t="s">
        <v>173</v>
      </c>
      <c r="F34" s="32" t="s">
        <v>171</v>
      </c>
      <c r="G34" s="35">
        <v>15000</v>
      </c>
      <c r="H34" s="40">
        <v>15500</v>
      </c>
      <c r="I34" s="75"/>
      <c r="J34" s="28">
        <f t="shared" si="0"/>
        <v>0</v>
      </c>
      <c r="K34" s="29" t="s">
        <v>26</v>
      </c>
      <c r="L34" s="30">
        <v>3000</v>
      </c>
      <c r="M34" s="30"/>
      <c r="N34" s="28"/>
      <c r="O34" s="30"/>
      <c r="P34" s="30"/>
      <c r="Q34" s="31"/>
    </row>
    <row r="35" s="1" customFormat="1" ht="19.05" customHeight="1" spans="1:17">
      <c r="A35" s="19">
        <v>30</v>
      </c>
      <c r="B35" s="22" t="s">
        <v>174</v>
      </c>
      <c r="C35" s="22" t="s">
        <v>175</v>
      </c>
      <c r="D35" s="23">
        <v>1</v>
      </c>
      <c r="E35" s="22" t="s">
        <v>173</v>
      </c>
      <c r="F35" s="22" t="s">
        <v>174</v>
      </c>
      <c r="G35" s="35">
        <v>15000</v>
      </c>
      <c r="H35" s="35">
        <v>18000</v>
      </c>
      <c r="I35" s="80"/>
      <c r="J35" s="28">
        <f t="shared" si="0"/>
        <v>0</v>
      </c>
      <c r="K35" s="29" t="s">
        <v>26</v>
      </c>
      <c r="L35" s="30">
        <v>3000</v>
      </c>
      <c r="M35" s="30" t="s">
        <v>27</v>
      </c>
      <c r="N35" s="28"/>
      <c r="O35" s="30"/>
      <c r="P35" s="30"/>
      <c r="Q35" s="31"/>
    </row>
    <row r="36" s="1" customFormat="1" ht="19.05" customHeight="1" spans="1:17">
      <c r="A36" s="19">
        <v>31</v>
      </c>
      <c r="B36" s="32" t="s">
        <v>176</v>
      </c>
      <c r="C36" s="32" t="s">
        <v>177</v>
      </c>
      <c r="D36" s="33">
        <v>2</v>
      </c>
      <c r="E36" s="32" t="s">
        <v>178</v>
      </c>
      <c r="F36" s="32" t="s">
        <v>176</v>
      </c>
      <c r="G36" s="35">
        <v>30000</v>
      </c>
      <c r="H36" s="35">
        <v>33000</v>
      </c>
      <c r="I36" s="83"/>
      <c r="J36" s="28">
        <f t="shared" si="0"/>
        <v>0</v>
      </c>
      <c r="K36" s="29" t="s">
        <v>26</v>
      </c>
      <c r="L36" s="30">
        <v>3000</v>
      </c>
      <c r="M36" s="30" t="s">
        <v>27</v>
      </c>
      <c r="N36" s="28"/>
      <c r="O36" s="30"/>
      <c r="P36" s="30"/>
      <c r="Q36" s="31"/>
    </row>
    <row r="37" s="1" customFormat="1" ht="19.05" customHeight="1" spans="1:17">
      <c r="A37" s="19">
        <v>32</v>
      </c>
      <c r="B37" s="22" t="s">
        <v>179</v>
      </c>
      <c r="C37" s="22" t="s">
        <v>180</v>
      </c>
      <c r="D37" s="23">
        <v>1</v>
      </c>
      <c r="E37" s="22" t="s">
        <v>181</v>
      </c>
      <c r="F37" s="22" t="s">
        <v>179</v>
      </c>
      <c r="G37" s="35">
        <v>15000</v>
      </c>
      <c r="H37" s="35">
        <v>18000</v>
      </c>
      <c r="I37" s="75"/>
      <c r="J37" s="28">
        <f t="shared" si="0"/>
        <v>0</v>
      </c>
      <c r="K37" s="29" t="s">
        <v>26</v>
      </c>
      <c r="L37" s="30">
        <v>3000</v>
      </c>
      <c r="M37" s="30" t="s">
        <v>27</v>
      </c>
      <c r="N37" s="28"/>
      <c r="O37" s="30"/>
      <c r="P37" s="30"/>
      <c r="Q37" s="31"/>
    </row>
    <row r="38" s="1" customFormat="1" ht="19.05" customHeight="1" spans="1:17">
      <c r="A38" s="19">
        <v>33</v>
      </c>
      <c r="B38" s="32" t="s">
        <v>182</v>
      </c>
      <c r="C38" s="32" t="s">
        <v>183</v>
      </c>
      <c r="D38" s="33">
        <v>3</v>
      </c>
      <c r="E38" s="32" t="s">
        <v>173</v>
      </c>
      <c r="F38" s="32" t="s">
        <v>182</v>
      </c>
      <c r="G38" s="35">
        <v>45000</v>
      </c>
      <c r="H38" s="35">
        <v>46000</v>
      </c>
      <c r="I38" s="75"/>
      <c r="J38" s="28">
        <f t="shared" si="0"/>
        <v>0</v>
      </c>
      <c r="K38" s="29" t="s">
        <v>26</v>
      </c>
      <c r="L38" s="30">
        <v>3000</v>
      </c>
      <c r="M38" s="30"/>
      <c r="N38" s="28"/>
      <c r="O38" s="30"/>
      <c r="P38" s="30"/>
      <c r="Q38" s="31"/>
    </row>
    <row r="39" s="1" customFormat="1" ht="19.05" customHeight="1" spans="1:17">
      <c r="A39" s="19">
        <v>34</v>
      </c>
      <c r="B39" s="22" t="s">
        <v>184</v>
      </c>
      <c r="C39" s="22" t="s">
        <v>185</v>
      </c>
      <c r="D39" s="23">
        <v>1</v>
      </c>
      <c r="E39" s="77"/>
      <c r="F39" s="22" t="s">
        <v>184</v>
      </c>
      <c r="G39" s="35">
        <v>15000</v>
      </c>
      <c r="H39" s="35">
        <v>16000</v>
      </c>
      <c r="I39" s="75"/>
      <c r="J39" s="28">
        <f t="shared" si="0"/>
        <v>0</v>
      </c>
      <c r="K39" s="29" t="s">
        <v>26</v>
      </c>
      <c r="L39" s="30">
        <v>5000</v>
      </c>
      <c r="M39" s="30"/>
      <c r="N39" s="28"/>
      <c r="O39" s="30"/>
      <c r="P39" s="30"/>
      <c r="Q39" s="31"/>
    </row>
    <row r="40" s="1" customFormat="1" ht="19.05" customHeight="1" spans="1:17">
      <c r="A40" s="19">
        <v>35</v>
      </c>
      <c r="B40" s="32" t="s">
        <v>186</v>
      </c>
      <c r="C40" s="32" t="s">
        <v>187</v>
      </c>
      <c r="D40" s="33">
        <v>1</v>
      </c>
      <c r="E40" s="84" t="s">
        <v>188</v>
      </c>
      <c r="F40" s="32" t="s">
        <v>186</v>
      </c>
      <c r="G40" s="35">
        <v>15000</v>
      </c>
      <c r="H40" s="35">
        <v>16000</v>
      </c>
      <c r="I40" s="75"/>
      <c r="J40" s="28">
        <f t="shared" si="0"/>
        <v>0</v>
      </c>
      <c r="K40" s="29" t="s">
        <v>26</v>
      </c>
      <c r="L40" s="30">
        <v>5000</v>
      </c>
      <c r="M40" s="30"/>
      <c r="N40" s="28"/>
      <c r="O40" s="30"/>
      <c r="P40" s="30"/>
      <c r="Q40" s="31"/>
    </row>
    <row r="41" s="1" customFormat="1" ht="19.05" customHeight="1" spans="1:17">
      <c r="A41" s="19">
        <v>36</v>
      </c>
      <c r="B41" s="22" t="s">
        <v>189</v>
      </c>
      <c r="C41" s="22" t="s">
        <v>190</v>
      </c>
      <c r="D41" s="23">
        <v>1</v>
      </c>
      <c r="E41" s="22" t="s">
        <v>191</v>
      </c>
      <c r="F41" s="22" t="s">
        <v>189</v>
      </c>
      <c r="G41" s="35">
        <v>15000</v>
      </c>
      <c r="H41" s="35">
        <v>18000</v>
      </c>
      <c r="I41" s="75"/>
      <c r="J41" s="28">
        <f t="shared" si="0"/>
        <v>0</v>
      </c>
      <c r="K41" s="29" t="s">
        <v>26</v>
      </c>
      <c r="L41" s="30">
        <v>3000</v>
      </c>
      <c r="M41" s="30" t="s">
        <v>27</v>
      </c>
      <c r="N41" s="28"/>
      <c r="O41" s="30"/>
      <c r="P41" s="30"/>
      <c r="Q41" s="31"/>
    </row>
    <row r="42" s="1" customFormat="1" ht="19.05" customHeight="1" spans="1:17">
      <c r="A42" s="19">
        <v>37</v>
      </c>
      <c r="B42" s="32" t="s">
        <v>192</v>
      </c>
      <c r="C42" s="32" t="s">
        <v>193</v>
      </c>
      <c r="D42" s="33">
        <v>1</v>
      </c>
      <c r="E42" s="32" t="s">
        <v>194</v>
      </c>
      <c r="F42" s="32" t="s">
        <v>192</v>
      </c>
      <c r="G42" s="35">
        <v>15000</v>
      </c>
      <c r="H42" s="35">
        <v>18000</v>
      </c>
      <c r="I42" s="75"/>
      <c r="J42" s="28">
        <f t="shared" si="0"/>
        <v>0</v>
      </c>
      <c r="K42" s="29" t="s">
        <v>26</v>
      </c>
      <c r="L42" s="30">
        <v>3000</v>
      </c>
      <c r="M42" s="30" t="s">
        <v>27</v>
      </c>
      <c r="N42" s="28"/>
      <c r="O42" s="30"/>
      <c r="P42" s="30"/>
      <c r="Q42" s="31"/>
    </row>
    <row r="43" s="1" customFormat="1" ht="19.05" customHeight="1" spans="1:17">
      <c r="A43" s="19">
        <v>38</v>
      </c>
      <c r="B43" s="22" t="s">
        <v>195</v>
      </c>
      <c r="C43" s="22" t="s">
        <v>196</v>
      </c>
      <c r="D43" s="23">
        <v>1</v>
      </c>
      <c r="E43" s="85" t="s">
        <v>197</v>
      </c>
      <c r="F43" s="22" t="s">
        <v>195</v>
      </c>
      <c r="G43" s="35">
        <v>15000</v>
      </c>
      <c r="H43" s="35">
        <v>18000</v>
      </c>
      <c r="I43" s="75"/>
      <c r="J43" s="28">
        <f t="shared" si="0"/>
        <v>0</v>
      </c>
      <c r="K43" s="29" t="s">
        <v>26</v>
      </c>
      <c r="L43" s="30">
        <v>3000</v>
      </c>
      <c r="M43" s="30" t="s">
        <v>27</v>
      </c>
      <c r="N43" s="28"/>
      <c r="O43" s="30"/>
      <c r="P43" s="30"/>
      <c r="Q43" s="31"/>
    </row>
    <row r="44" s="1" customFormat="1" ht="19.05" customHeight="1" spans="1:17">
      <c r="A44" s="19">
        <v>39</v>
      </c>
      <c r="B44" s="32" t="s">
        <v>198</v>
      </c>
      <c r="C44" s="32" t="s">
        <v>199</v>
      </c>
      <c r="D44" s="33">
        <v>6</v>
      </c>
      <c r="E44" s="32" t="s">
        <v>200</v>
      </c>
      <c r="F44" s="32" t="s">
        <v>201</v>
      </c>
      <c r="G44" s="35">
        <v>90000</v>
      </c>
      <c r="H44" s="35">
        <v>92000</v>
      </c>
      <c r="I44" s="75"/>
      <c r="J44" s="28">
        <f t="shared" si="0"/>
        <v>0</v>
      </c>
      <c r="K44" s="29" t="s">
        <v>26</v>
      </c>
      <c r="L44" s="30">
        <v>4000</v>
      </c>
      <c r="M44" s="30" t="s">
        <v>27</v>
      </c>
      <c r="N44" s="28"/>
      <c r="O44" s="30"/>
      <c r="P44" s="30"/>
      <c r="Q44" s="31"/>
    </row>
    <row r="45" s="1" customFormat="1" ht="19.05" customHeight="1" spans="1:17">
      <c r="A45" s="19">
        <v>40</v>
      </c>
      <c r="B45" s="22" t="s">
        <v>202</v>
      </c>
      <c r="C45" s="22" t="s">
        <v>203</v>
      </c>
      <c r="D45" s="23">
        <v>1</v>
      </c>
      <c r="E45" s="22" t="s">
        <v>204</v>
      </c>
      <c r="F45" s="22" t="s">
        <v>202</v>
      </c>
      <c r="G45" s="35">
        <v>15000</v>
      </c>
      <c r="H45" s="35">
        <v>18000</v>
      </c>
      <c r="I45" s="75"/>
      <c r="J45" s="28">
        <f t="shared" si="0"/>
        <v>0</v>
      </c>
      <c r="K45" s="29" t="s">
        <v>26</v>
      </c>
      <c r="L45" s="30">
        <v>3000</v>
      </c>
      <c r="M45" s="30" t="s">
        <v>27</v>
      </c>
      <c r="N45" s="28"/>
      <c r="O45" s="30"/>
      <c r="P45" s="30"/>
      <c r="Q45" s="31"/>
    </row>
    <row r="46" s="1" customFormat="1" ht="19.05" customHeight="1" spans="1:17">
      <c r="A46" s="19">
        <v>41</v>
      </c>
      <c r="B46" s="32" t="s">
        <v>205</v>
      </c>
      <c r="C46" s="32" t="s">
        <v>206</v>
      </c>
      <c r="D46" s="33">
        <v>1</v>
      </c>
      <c r="E46" s="32" t="s">
        <v>173</v>
      </c>
      <c r="F46" s="32" t="s">
        <v>205</v>
      </c>
      <c r="G46" s="35">
        <v>15000</v>
      </c>
      <c r="H46" s="35">
        <v>17500</v>
      </c>
      <c r="I46" s="75"/>
      <c r="J46" s="28">
        <f t="shared" si="0"/>
        <v>0</v>
      </c>
      <c r="K46" s="29" t="s">
        <v>26</v>
      </c>
      <c r="L46" s="30">
        <v>2500</v>
      </c>
      <c r="M46" s="30" t="s">
        <v>27</v>
      </c>
      <c r="N46" s="28"/>
      <c r="O46" s="30"/>
      <c r="P46" s="30"/>
      <c r="Q46" s="31"/>
    </row>
    <row r="47" s="1" customFormat="1" ht="19.05" customHeight="1" spans="1:17">
      <c r="A47" s="19">
        <v>42</v>
      </c>
      <c r="B47" s="22" t="s">
        <v>207</v>
      </c>
      <c r="C47" s="22" t="s">
        <v>208</v>
      </c>
      <c r="D47" s="23">
        <v>1</v>
      </c>
      <c r="E47" s="22" t="s">
        <v>209</v>
      </c>
      <c r="F47" s="22" t="s">
        <v>207</v>
      </c>
      <c r="G47" s="35">
        <v>15000</v>
      </c>
      <c r="H47" s="35">
        <v>18000</v>
      </c>
      <c r="I47" s="75"/>
      <c r="J47" s="28">
        <f t="shared" si="0"/>
        <v>0</v>
      </c>
      <c r="K47" s="29" t="s">
        <v>26</v>
      </c>
      <c r="L47" s="30">
        <v>3000</v>
      </c>
      <c r="M47" s="30" t="s">
        <v>27</v>
      </c>
      <c r="N47" s="28"/>
      <c r="O47" s="30"/>
      <c r="P47" s="30"/>
      <c r="Q47" s="31"/>
    </row>
    <row r="48" s="1" customFormat="1" ht="19.05" customHeight="1" spans="1:17">
      <c r="A48" s="19">
        <v>43</v>
      </c>
      <c r="B48" s="32" t="s">
        <v>210</v>
      </c>
      <c r="C48" s="32" t="s">
        <v>211</v>
      </c>
      <c r="D48" s="33">
        <v>1</v>
      </c>
      <c r="E48" s="32" t="s">
        <v>212</v>
      </c>
      <c r="F48" s="32" t="s">
        <v>210</v>
      </c>
      <c r="G48" s="35">
        <v>15000</v>
      </c>
      <c r="H48" s="35">
        <v>18000</v>
      </c>
      <c r="I48" s="75"/>
      <c r="J48" s="28">
        <f t="shared" si="0"/>
        <v>0</v>
      </c>
      <c r="K48" s="29" t="s">
        <v>26</v>
      </c>
      <c r="L48" s="30">
        <v>3000</v>
      </c>
      <c r="M48" s="30" t="s">
        <v>27</v>
      </c>
      <c r="N48" s="28"/>
      <c r="O48" s="30"/>
      <c r="P48" s="30"/>
      <c r="Q48" s="31"/>
    </row>
    <row r="49" s="1" customFormat="1" ht="19.05" customHeight="1" spans="1:17">
      <c r="A49" s="19">
        <v>44</v>
      </c>
      <c r="B49" s="22" t="s">
        <v>213</v>
      </c>
      <c r="C49" s="22" t="s">
        <v>214</v>
      </c>
      <c r="D49" s="23">
        <v>1</v>
      </c>
      <c r="E49" s="22" t="s">
        <v>215</v>
      </c>
      <c r="F49" s="22" t="s">
        <v>216</v>
      </c>
      <c r="G49" s="35">
        <v>15000</v>
      </c>
      <c r="H49" s="35">
        <v>18000</v>
      </c>
      <c r="I49" s="86"/>
      <c r="J49" s="28">
        <f t="shared" si="0"/>
        <v>0</v>
      </c>
      <c r="K49" s="29" t="s">
        <v>26</v>
      </c>
      <c r="L49" s="30">
        <v>3000</v>
      </c>
      <c r="M49" s="30" t="s">
        <v>27</v>
      </c>
      <c r="N49" s="28"/>
      <c r="O49" s="30"/>
      <c r="P49" s="30"/>
      <c r="Q49" s="31"/>
    </row>
    <row r="50" s="1" customFormat="1" ht="19.05" customHeight="1" spans="1:17">
      <c r="A50" s="19">
        <v>45</v>
      </c>
      <c r="B50" s="32" t="s">
        <v>216</v>
      </c>
      <c r="C50" s="32" t="s">
        <v>217</v>
      </c>
      <c r="D50" s="33">
        <v>1</v>
      </c>
      <c r="E50" s="32" t="s">
        <v>215</v>
      </c>
      <c r="F50" s="32" t="s">
        <v>216</v>
      </c>
      <c r="G50" s="35">
        <v>15000</v>
      </c>
      <c r="H50" s="35">
        <v>18000</v>
      </c>
      <c r="I50" s="87"/>
      <c r="J50" s="28">
        <f t="shared" si="0"/>
        <v>0</v>
      </c>
      <c r="K50" s="29" t="s">
        <v>26</v>
      </c>
      <c r="L50" s="30">
        <v>3000</v>
      </c>
      <c r="M50" s="30" t="s">
        <v>27</v>
      </c>
      <c r="N50" s="28"/>
      <c r="O50" s="30"/>
      <c r="P50" s="30"/>
      <c r="Q50" s="31"/>
    </row>
    <row r="51" s="1" customFormat="1" ht="19.05" customHeight="1" spans="1:17">
      <c r="A51" s="19">
        <v>46</v>
      </c>
      <c r="B51" s="22" t="s">
        <v>218</v>
      </c>
      <c r="C51" s="22" t="s">
        <v>219</v>
      </c>
      <c r="D51" s="23">
        <v>2</v>
      </c>
      <c r="E51" s="22" t="s">
        <v>118</v>
      </c>
      <c r="F51" s="22" t="s">
        <v>220</v>
      </c>
      <c r="G51" s="35">
        <v>30000</v>
      </c>
      <c r="H51" s="35">
        <v>35000</v>
      </c>
      <c r="I51" s="73"/>
      <c r="J51" s="28">
        <f t="shared" si="0"/>
        <v>0</v>
      </c>
      <c r="K51" s="29" t="s">
        <v>26</v>
      </c>
      <c r="L51" s="30">
        <v>5000</v>
      </c>
      <c r="M51" s="30" t="s">
        <v>27</v>
      </c>
      <c r="N51" s="28"/>
      <c r="O51" s="30"/>
      <c r="P51" s="30"/>
      <c r="Q51" s="31"/>
    </row>
    <row r="52" s="1" customFormat="1" ht="19.05" customHeight="1" spans="1:17">
      <c r="A52" s="19">
        <v>47</v>
      </c>
      <c r="B52" s="32" t="s">
        <v>221</v>
      </c>
      <c r="C52" s="32" t="s">
        <v>222</v>
      </c>
      <c r="D52" s="33">
        <v>1</v>
      </c>
      <c r="E52" s="32" t="s">
        <v>118</v>
      </c>
      <c r="F52" s="32" t="s">
        <v>223</v>
      </c>
      <c r="G52" s="35">
        <v>15000</v>
      </c>
      <c r="H52" s="35">
        <v>20000</v>
      </c>
      <c r="I52" s="75"/>
      <c r="J52" s="28">
        <f t="shared" si="0"/>
        <v>0</v>
      </c>
      <c r="K52" s="29" t="s">
        <v>26</v>
      </c>
      <c r="L52" s="30">
        <v>10000</v>
      </c>
      <c r="M52" s="30" t="s">
        <v>27</v>
      </c>
      <c r="N52" s="28"/>
      <c r="O52" s="30"/>
      <c r="P52" s="30"/>
      <c r="Q52" s="31"/>
    </row>
    <row r="53" s="1" customFormat="1" ht="19.05" customHeight="1" spans="1:17">
      <c r="A53" s="19">
        <v>48</v>
      </c>
      <c r="B53" s="22" t="s">
        <v>224</v>
      </c>
      <c r="C53" s="22" t="s">
        <v>225</v>
      </c>
      <c r="D53" s="23">
        <v>3</v>
      </c>
      <c r="E53" s="22" t="s">
        <v>24</v>
      </c>
      <c r="F53" s="22" t="s">
        <v>226</v>
      </c>
      <c r="G53" s="35">
        <v>45000</v>
      </c>
      <c r="H53" s="35">
        <v>50000</v>
      </c>
      <c r="I53" s="75"/>
      <c r="J53" s="28">
        <f t="shared" si="0"/>
        <v>0</v>
      </c>
      <c r="K53" s="29" t="s">
        <v>26</v>
      </c>
      <c r="L53" s="30">
        <v>10000</v>
      </c>
      <c r="M53" s="30" t="s">
        <v>27</v>
      </c>
      <c r="N53" s="28"/>
      <c r="O53" s="30"/>
      <c r="P53" s="30"/>
      <c r="Q53" s="31"/>
    </row>
    <row r="54" s="1" customFormat="1" ht="19.05" customHeight="1" spans="1:17">
      <c r="A54" s="19">
        <v>49</v>
      </c>
      <c r="B54" s="32" t="s">
        <v>227</v>
      </c>
      <c r="C54" s="32" t="s">
        <v>228</v>
      </c>
      <c r="D54" s="33">
        <v>2</v>
      </c>
      <c r="E54" s="32" t="s">
        <v>24</v>
      </c>
      <c r="F54" s="32" t="s">
        <v>229</v>
      </c>
      <c r="G54" s="35">
        <v>30000</v>
      </c>
      <c r="H54" s="35">
        <v>40000</v>
      </c>
      <c r="I54" s="75"/>
      <c r="J54" s="28">
        <f t="shared" si="0"/>
        <v>0</v>
      </c>
      <c r="K54" s="29" t="s">
        <v>26</v>
      </c>
      <c r="L54" s="30">
        <v>10000</v>
      </c>
      <c r="M54" s="30" t="s">
        <v>27</v>
      </c>
      <c r="N54" s="28"/>
      <c r="O54" s="30"/>
      <c r="P54" s="30"/>
      <c r="Q54" s="31"/>
    </row>
    <row r="55" s="1" customFormat="1" ht="19.05" customHeight="1" spans="1:17">
      <c r="A55" s="19">
        <v>50</v>
      </c>
      <c r="B55" s="22" t="s">
        <v>230</v>
      </c>
      <c r="C55" s="22" t="s">
        <v>231</v>
      </c>
      <c r="D55" s="23">
        <v>2</v>
      </c>
      <c r="E55" s="22" t="s">
        <v>24</v>
      </c>
      <c r="F55" s="22" t="s">
        <v>226</v>
      </c>
      <c r="G55" s="35">
        <v>30000</v>
      </c>
      <c r="H55" s="35">
        <v>40000</v>
      </c>
      <c r="I55" s="75"/>
      <c r="J55" s="28">
        <f t="shared" si="0"/>
        <v>0</v>
      </c>
      <c r="K55" s="29" t="s">
        <v>26</v>
      </c>
      <c r="L55" s="30">
        <v>10000</v>
      </c>
      <c r="M55" s="30" t="s">
        <v>27</v>
      </c>
      <c r="N55" s="28"/>
      <c r="O55" s="30"/>
      <c r="P55" s="30"/>
      <c r="Q55" s="31"/>
    </row>
    <row r="56" s="1" customFormat="1" ht="19.05" customHeight="1" spans="1:17">
      <c r="A56" s="19">
        <v>51</v>
      </c>
      <c r="B56" s="32" t="s">
        <v>49</v>
      </c>
      <c r="C56" s="32" t="s">
        <v>232</v>
      </c>
      <c r="D56" s="33">
        <v>3</v>
      </c>
      <c r="E56" s="32" t="s">
        <v>24</v>
      </c>
      <c r="F56" s="32" t="s">
        <v>51</v>
      </c>
      <c r="G56" s="35">
        <v>45000</v>
      </c>
      <c r="H56" s="35">
        <v>50000</v>
      </c>
      <c r="I56" s="75"/>
      <c r="J56" s="28">
        <f t="shared" si="0"/>
        <v>0</v>
      </c>
      <c r="K56" s="29" t="s">
        <v>26</v>
      </c>
      <c r="L56" s="30">
        <v>10000</v>
      </c>
      <c r="M56" s="30" t="s">
        <v>27</v>
      </c>
      <c r="N56" s="28"/>
      <c r="O56" s="30"/>
      <c r="P56" s="30"/>
      <c r="Q56" s="31"/>
    </row>
    <row r="57" s="1" customFormat="1" ht="19.05" customHeight="1" spans="1:17">
      <c r="A57" s="19">
        <v>52</v>
      </c>
      <c r="B57" s="22" t="s">
        <v>233</v>
      </c>
      <c r="C57" s="22" t="s">
        <v>234</v>
      </c>
      <c r="D57" s="23">
        <v>1</v>
      </c>
      <c r="E57" s="22" t="s">
        <v>24</v>
      </c>
      <c r="F57" s="22" t="s">
        <v>235</v>
      </c>
      <c r="G57" s="35">
        <v>15000</v>
      </c>
      <c r="H57" s="35">
        <v>20000</v>
      </c>
      <c r="I57" s="75"/>
      <c r="J57" s="28">
        <f t="shared" si="0"/>
        <v>0</v>
      </c>
      <c r="K57" s="29" t="s">
        <v>26</v>
      </c>
      <c r="L57" s="30">
        <v>10000</v>
      </c>
      <c r="M57" s="30" t="s">
        <v>27</v>
      </c>
      <c r="N57" s="28"/>
      <c r="O57" s="30"/>
      <c r="P57" s="30"/>
      <c r="Q57" s="31"/>
    </row>
    <row r="58" s="1" customFormat="1" ht="19.05" customHeight="1" spans="1:17">
      <c r="A58" s="19">
        <v>53</v>
      </c>
      <c r="B58" s="32" t="s">
        <v>49</v>
      </c>
      <c r="C58" s="32" t="s">
        <v>236</v>
      </c>
      <c r="D58" s="33">
        <v>2</v>
      </c>
      <c r="E58" s="32" t="s">
        <v>24</v>
      </c>
      <c r="F58" s="32" t="s">
        <v>237</v>
      </c>
      <c r="G58" s="35">
        <v>30000</v>
      </c>
      <c r="H58" s="35">
        <v>35000</v>
      </c>
      <c r="I58" s="75"/>
      <c r="J58" s="28">
        <f t="shared" si="0"/>
        <v>0</v>
      </c>
      <c r="K58" s="29" t="s">
        <v>26</v>
      </c>
      <c r="L58" s="30">
        <v>5000</v>
      </c>
      <c r="M58" s="30" t="s">
        <v>27</v>
      </c>
      <c r="N58" s="28"/>
      <c r="O58" s="30"/>
      <c r="P58" s="30"/>
      <c r="Q58" s="31"/>
    </row>
    <row r="59" s="1" customFormat="1" ht="19.05" customHeight="1" spans="1:17">
      <c r="A59" s="19">
        <v>54</v>
      </c>
      <c r="B59" s="22" t="s">
        <v>238</v>
      </c>
      <c r="C59" s="22" t="s">
        <v>239</v>
      </c>
      <c r="D59" s="23">
        <v>1</v>
      </c>
      <c r="E59" s="22" t="s">
        <v>24</v>
      </c>
      <c r="F59" s="22" t="s">
        <v>240</v>
      </c>
      <c r="G59" s="35">
        <v>15000</v>
      </c>
      <c r="H59" s="35">
        <v>20000</v>
      </c>
      <c r="I59" s="75"/>
      <c r="J59" s="28">
        <f t="shared" si="0"/>
        <v>0</v>
      </c>
      <c r="K59" s="29" t="s">
        <v>26</v>
      </c>
      <c r="L59" s="30">
        <v>10000</v>
      </c>
      <c r="M59" s="30" t="s">
        <v>27</v>
      </c>
      <c r="N59" s="28"/>
      <c r="O59" s="30"/>
      <c r="P59" s="30"/>
      <c r="Q59" s="31"/>
    </row>
    <row r="60" s="1" customFormat="1" ht="19.05" customHeight="1" spans="1:17">
      <c r="A60" s="19">
        <v>55</v>
      </c>
      <c r="B60" s="32" t="s">
        <v>241</v>
      </c>
      <c r="C60" s="32" t="s">
        <v>242</v>
      </c>
      <c r="D60" s="33">
        <v>2</v>
      </c>
      <c r="E60" s="32" t="s">
        <v>243</v>
      </c>
      <c r="F60" s="32" t="s">
        <v>244</v>
      </c>
      <c r="G60" s="35">
        <v>30000</v>
      </c>
      <c r="H60" s="35">
        <v>40000</v>
      </c>
      <c r="I60" s="80"/>
      <c r="J60" s="28">
        <f t="shared" si="0"/>
        <v>0</v>
      </c>
      <c r="K60" s="29" t="s">
        <v>26</v>
      </c>
      <c r="L60" s="30">
        <v>10000</v>
      </c>
      <c r="M60" s="30" t="s">
        <v>27</v>
      </c>
      <c r="N60" s="28"/>
      <c r="O60" s="30"/>
      <c r="P60" s="30"/>
      <c r="Q60" s="31"/>
    </row>
    <row r="61" s="1" customFormat="1" ht="19.05" customHeight="1" spans="1:17">
      <c r="A61" s="19">
        <v>56</v>
      </c>
      <c r="B61" s="22" t="s">
        <v>245</v>
      </c>
      <c r="C61" s="22" t="s">
        <v>246</v>
      </c>
      <c r="D61" s="23">
        <v>1</v>
      </c>
      <c r="E61" s="22" t="s">
        <v>24</v>
      </c>
      <c r="F61" s="22" t="s">
        <v>247</v>
      </c>
      <c r="G61" s="35">
        <v>15000</v>
      </c>
      <c r="H61" s="35">
        <v>20000</v>
      </c>
      <c r="I61" s="83"/>
      <c r="J61" s="28">
        <f t="shared" si="0"/>
        <v>0</v>
      </c>
      <c r="K61" s="29" t="s">
        <v>26</v>
      </c>
      <c r="L61" s="30">
        <v>10000</v>
      </c>
      <c r="M61" s="30" t="s">
        <v>27</v>
      </c>
      <c r="N61" s="28"/>
      <c r="O61" s="30"/>
      <c r="P61" s="30"/>
      <c r="Q61" s="31"/>
    </row>
    <row r="62" s="1" customFormat="1" ht="19.05" customHeight="1" spans="1:17">
      <c r="A62" s="19">
        <v>57</v>
      </c>
      <c r="B62" s="32" t="s">
        <v>248</v>
      </c>
      <c r="C62" s="32" t="s">
        <v>249</v>
      </c>
      <c r="D62" s="33">
        <v>2</v>
      </c>
      <c r="E62" s="32" t="s">
        <v>24</v>
      </c>
      <c r="F62" s="32" t="s">
        <v>250</v>
      </c>
      <c r="G62" s="35">
        <v>30000</v>
      </c>
      <c r="H62" s="35">
        <v>40000</v>
      </c>
      <c r="I62" s="75"/>
      <c r="J62" s="28">
        <f t="shared" si="0"/>
        <v>0</v>
      </c>
      <c r="K62" s="29" t="s">
        <v>26</v>
      </c>
      <c r="L62" s="30">
        <v>10000</v>
      </c>
      <c r="M62" s="30" t="s">
        <v>27</v>
      </c>
      <c r="N62" s="28"/>
      <c r="O62" s="30"/>
      <c r="P62" s="30"/>
      <c r="Q62" s="31"/>
    </row>
    <row r="63" s="1" customFormat="1" ht="19.05" customHeight="1" spans="1:17">
      <c r="A63" s="19">
        <v>58</v>
      </c>
      <c r="B63" s="22" t="s">
        <v>251</v>
      </c>
      <c r="C63" s="22" t="s">
        <v>252</v>
      </c>
      <c r="D63" s="23">
        <v>1</v>
      </c>
      <c r="E63" s="22" t="s">
        <v>24</v>
      </c>
      <c r="F63" s="22" t="s">
        <v>253</v>
      </c>
      <c r="G63" s="35">
        <v>15000</v>
      </c>
      <c r="H63" s="35">
        <v>20000</v>
      </c>
      <c r="I63" s="80"/>
      <c r="J63" s="28">
        <f t="shared" si="0"/>
        <v>0</v>
      </c>
      <c r="K63" s="29" t="s">
        <v>26</v>
      </c>
      <c r="L63" s="30">
        <v>5000</v>
      </c>
      <c r="M63" s="30" t="s">
        <v>27</v>
      </c>
      <c r="N63" s="28"/>
      <c r="O63" s="30"/>
      <c r="P63" s="30"/>
      <c r="Q63" s="31"/>
    </row>
    <row r="64" s="1" customFormat="1" ht="19.05" customHeight="1" spans="1:17">
      <c r="A64" s="19">
        <v>59</v>
      </c>
      <c r="B64" s="32" t="s">
        <v>254</v>
      </c>
      <c r="C64" s="32" t="s">
        <v>255</v>
      </c>
      <c r="D64" s="33">
        <v>1</v>
      </c>
      <c r="E64" s="32" t="s">
        <v>256</v>
      </c>
      <c r="F64" s="32" t="s">
        <v>257</v>
      </c>
      <c r="G64" s="35">
        <v>15000</v>
      </c>
      <c r="H64" s="35">
        <v>15500</v>
      </c>
      <c r="I64" s="83"/>
      <c r="J64" s="28">
        <f t="shared" si="0"/>
        <v>0</v>
      </c>
      <c r="K64" s="29" t="s">
        <v>26</v>
      </c>
      <c r="L64" s="30">
        <v>5000</v>
      </c>
      <c r="M64" s="30"/>
      <c r="N64" s="28"/>
      <c r="O64" s="30"/>
      <c r="P64" s="30"/>
      <c r="Q64" s="31"/>
    </row>
    <row r="65" s="1" customFormat="1" ht="19.05" customHeight="1" spans="1:17">
      <c r="A65" s="19">
        <v>60</v>
      </c>
      <c r="B65" s="22" t="s">
        <v>258</v>
      </c>
      <c r="C65" s="22" t="s">
        <v>259</v>
      </c>
      <c r="D65" s="23">
        <v>2</v>
      </c>
      <c r="E65" s="22" t="s">
        <v>24</v>
      </c>
      <c r="F65" s="22" t="s">
        <v>260</v>
      </c>
      <c r="G65" s="35">
        <v>30000</v>
      </c>
      <c r="H65" s="35">
        <v>40000</v>
      </c>
      <c r="I65" s="75"/>
      <c r="J65" s="28">
        <f t="shared" si="0"/>
        <v>0</v>
      </c>
      <c r="K65" s="29" t="s">
        <v>26</v>
      </c>
      <c r="L65" s="30">
        <v>10000</v>
      </c>
      <c r="M65" s="30" t="s">
        <v>27</v>
      </c>
      <c r="N65" s="28"/>
      <c r="O65" s="30"/>
      <c r="P65" s="30"/>
      <c r="Q65" s="31"/>
    </row>
    <row r="66" s="1" customFormat="1" ht="19.05" customHeight="1" spans="1:17">
      <c r="A66" s="19">
        <v>61</v>
      </c>
      <c r="B66" s="32" t="s">
        <v>261</v>
      </c>
      <c r="C66" s="32" t="s">
        <v>262</v>
      </c>
      <c r="D66" s="33">
        <v>1</v>
      </c>
      <c r="E66" s="32" t="s">
        <v>24</v>
      </c>
      <c r="F66" s="32" t="s">
        <v>263</v>
      </c>
      <c r="G66" s="35">
        <v>15000</v>
      </c>
      <c r="H66" s="35">
        <v>20000</v>
      </c>
      <c r="I66" s="75"/>
      <c r="J66" s="28">
        <f t="shared" si="0"/>
        <v>0</v>
      </c>
      <c r="K66" s="29" t="s">
        <v>26</v>
      </c>
      <c r="L66" s="30">
        <v>10000</v>
      </c>
      <c r="M66" s="30" t="s">
        <v>27</v>
      </c>
      <c r="N66" s="28"/>
      <c r="O66" s="30"/>
      <c r="P66" s="30"/>
      <c r="Q66" s="31"/>
    </row>
    <row r="67" s="1" customFormat="1" ht="19.05" customHeight="1" spans="1:17">
      <c r="A67" s="19">
        <v>62</v>
      </c>
      <c r="B67" s="22" t="s">
        <v>264</v>
      </c>
      <c r="C67" s="22" t="s">
        <v>265</v>
      </c>
      <c r="D67" s="23">
        <v>1</v>
      </c>
      <c r="E67" s="22" t="s">
        <v>24</v>
      </c>
      <c r="F67" s="22" t="s">
        <v>263</v>
      </c>
      <c r="G67" s="35">
        <v>15000</v>
      </c>
      <c r="H67" s="35">
        <v>20000</v>
      </c>
      <c r="I67" s="75"/>
      <c r="J67" s="28">
        <f t="shared" si="0"/>
        <v>0</v>
      </c>
      <c r="K67" s="29" t="s">
        <v>26</v>
      </c>
      <c r="L67" s="30">
        <v>10000</v>
      </c>
      <c r="M67" s="30" t="s">
        <v>27</v>
      </c>
      <c r="N67" s="28"/>
      <c r="O67" s="30"/>
      <c r="P67" s="30"/>
      <c r="Q67" s="31"/>
    </row>
    <row r="68" s="1" customFormat="1" ht="19.05" customHeight="1" spans="1:17">
      <c r="A68" s="19">
        <v>63</v>
      </c>
      <c r="B68" s="32" t="s">
        <v>266</v>
      </c>
      <c r="C68" s="32" t="s">
        <v>267</v>
      </c>
      <c r="D68" s="33">
        <v>1</v>
      </c>
      <c r="E68" s="32" t="s">
        <v>24</v>
      </c>
      <c r="F68" s="32" t="s">
        <v>268</v>
      </c>
      <c r="G68" s="35">
        <v>15000</v>
      </c>
      <c r="H68" s="35">
        <v>20000</v>
      </c>
      <c r="I68" s="75"/>
      <c r="J68" s="28">
        <f t="shared" si="0"/>
        <v>0</v>
      </c>
      <c r="K68" s="29" t="s">
        <v>26</v>
      </c>
      <c r="L68" s="30">
        <v>10000</v>
      </c>
      <c r="M68" s="30" t="s">
        <v>27</v>
      </c>
      <c r="N68" s="28"/>
      <c r="O68" s="30"/>
      <c r="P68" s="30"/>
      <c r="Q68" s="31"/>
    </row>
    <row r="69" s="1" customFormat="1" ht="19.05" customHeight="1" spans="1:17">
      <c r="A69" s="19">
        <v>64</v>
      </c>
      <c r="B69" s="22" t="s">
        <v>269</v>
      </c>
      <c r="C69" s="22" t="s">
        <v>270</v>
      </c>
      <c r="D69" s="23">
        <v>1</v>
      </c>
      <c r="E69" s="22" t="s">
        <v>24</v>
      </c>
      <c r="F69" s="22" t="s">
        <v>271</v>
      </c>
      <c r="G69" s="35">
        <v>15000</v>
      </c>
      <c r="H69" s="35">
        <v>20000</v>
      </c>
      <c r="I69" s="75"/>
      <c r="J69" s="28">
        <f t="shared" si="0"/>
        <v>0</v>
      </c>
      <c r="K69" s="29" t="s">
        <v>26</v>
      </c>
      <c r="L69" s="30">
        <v>10000</v>
      </c>
      <c r="M69" s="30" t="s">
        <v>27</v>
      </c>
      <c r="N69" s="28"/>
      <c r="O69" s="30"/>
      <c r="P69" s="30"/>
      <c r="Q69" s="31"/>
    </row>
    <row r="70" s="1" customFormat="1" ht="19.05" customHeight="1" spans="1:17">
      <c r="A70" s="19">
        <v>65</v>
      </c>
      <c r="B70" s="32" t="s">
        <v>46</v>
      </c>
      <c r="C70" s="32" t="s">
        <v>272</v>
      </c>
      <c r="D70" s="33">
        <v>1</v>
      </c>
      <c r="E70" s="32" t="s">
        <v>24</v>
      </c>
      <c r="F70" s="32" t="s">
        <v>48</v>
      </c>
      <c r="G70" s="35">
        <v>15000</v>
      </c>
      <c r="H70" s="35">
        <v>20000</v>
      </c>
      <c r="I70" s="75"/>
      <c r="J70" s="28">
        <f t="shared" ref="J70:J77" si="1">+H70*I70</f>
        <v>0</v>
      </c>
      <c r="K70" s="29" t="s">
        <v>26</v>
      </c>
      <c r="L70" s="30">
        <v>10000</v>
      </c>
      <c r="M70" s="30" t="s">
        <v>27</v>
      </c>
      <c r="N70" s="28"/>
      <c r="O70" s="30"/>
      <c r="P70" s="30"/>
      <c r="Q70" s="31"/>
    </row>
    <row r="71" s="1" customFormat="1" ht="19.05" customHeight="1" spans="1:17">
      <c r="A71" s="19">
        <v>66</v>
      </c>
      <c r="B71" s="22" t="s">
        <v>273</v>
      </c>
      <c r="C71" s="22" t="s">
        <v>274</v>
      </c>
      <c r="D71" s="23">
        <v>1</v>
      </c>
      <c r="E71" s="22" t="s">
        <v>24</v>
      </c>
      <c r="F71" s="22" t="s">
        <v>275</v>
      </c>
      <c r="G71" s="35">
        <v>15000</v>
      </c>
      <c r="H71" s="35">
        <v>20000</v>
      </c>
      <c r="I71" s="75"/>
      <c r="J71" s="28">
        <f t="shared" si="1"/>
        <v>0</v>
      </c>
      <c r="K71" s="29" t="s">
        <v>26</v>
      </c>
      <c r="L71" s="30">
        <v>10000</v>
      </c>
      <c r="M71" s="30" t="s">
        <v>27</v>
      </c>
      <c r="N71" s="28"/>
      <c r="O71" s="30"/>
      <c r="P71" s="30"/>
      <c r="Q71" s="31"/>
    </row>
    <row r="72" s="1" customFormat="1" ht="19.05" customHeight="1" spans="1:17">
      <c r="A72" s="19">
        <v>67</v>
      </c>
      <c r="B72" s="32" t="s">
        <v>276</v>
      </c>
      <c r="C72" s="32" t="s">
        <v>277</v>
      </c>
      <c r="D72" s="33">
        <v>2</v>
      </c>
      <c r="E72" s="32" t="s">
        <v>24</v>
      </c>
      <c r="F72" s="88" t="s">
        <v>278</v>
      </c>
      <c r="G72" s="35">
        <v>30000</v>
      </c>
      <c r="H72" s="35">
        <v>40000</v>
      </c>
      <c r="I72" s="80"/>
      <c r="J72" s="28">
        <f t="shared" si="1"/>
        <v>0</v>
      </c>
      <c r="K72" s="29" t="s">
        <v>26</v>
      </c>
      <c r="L72" s="30">
        <v>10000</v>
      </c>
      <c r="M72" s="30" t="s">
        <v>27</v>
      </c>
      <c r="N72" s="28"/>
      <c r="O72" s="30"/>
      <c r="P72" s="30"/>
      <c r="Q72" s="31"/>
    </row>
    <row r="73" s="1" customFormat="1" ht="19.05" customHeight="1" spans="1:17">
      <c r="A73" s="19">
        <v>68</v>
      </c>
      <c r="B73" s="22" t="s">
        <v>279</v>
      </c>
      <c r="C73" s="22" t="s">
        <v>280</v>
      </c>
      <c r="D73" s="23">
        <v>2</v>
      </c>
      <c r="E73" s="22" t="s">
        <v>281</v>
      </c>
      <c r="F73" s="22" t="s">
        <v>279</v>
      </c>
      <c r="G73" s="35">
        <v>30000</v>
      </c>
      <c r="H73" s="35">
        <v>30500</v>
      </c>
      <c r="I73" s="81"/>
      <c r="J73" s="28">
        <f t="shared" si="1"/>
        <v>0</v>
      </c>
      <c r="K73" s="29" t="s">
        <v>26</v>
      </c>
      <c r="L73" s="30">
        <v>1000</v>
      </c>
      <c r="M73" s="30"/>
      <c r="N73" s="28"/>
      <c r="O73" s="30"/>
      <c r="P73" s="30"/>
      <c r="Q73" s="31"/>
    </row>
    <row r="74" s="1" customFormat="1" ht="19.05" customHeight="1" spans="1:17">
      <c r="A74" s="19">
        <v>69</v>
      </c>
      <c r="B74" s="32" t="s">
        <v>282</v>
      </c>
      <c r="C74" s="32" t="s">
        <v>283</v>
      </c>
      <c r="D74" s="33">
        <v>1</v>
      </c>
      <c r="E74" s="32" t="s">
        <v>284</v>
      </c>
      <c r="F74" s="32" t="s">
        <v>282</v>
      </c>
      <c r="G74" s="35">
        <v>15000</v>
      </c>
      <c r="H74" s="35">
        <v>16000</v>
      </c>
      <c r="I74" s="75"/>
      <c r="J74" s="28">
        <f t="shared" si="1"/>
        <v>0</v>
      </c>
      <c r="K74" s="29" t="s">
        <v>26</v>
      </c>
      <c r="L74" s="30">
        <v>4000</v>
      </c>
      <c r="M74" s="30" t="s">
        <v>27</v>
      </c>
      <c r="N74" s="28"/>
      <c r="O74" s="30"/>
      <c r="P74" s="30"/>
      <c r="Q74" s="31"/>
    </row>
    <row r="75" s="1" customFormat="1" ht="19.05" customHeight="1" spans="1:17">
      <c r="A75" s="19">
        <v>70</v>
      </c>
      <c r="B75" s="22" t="s">
        <v>285</v>
      </c>
      <c r="C75" s="22" t="s">
        <v>286</v>
      </c>
      <c r="D75" s="23">
        <v>1</v>
      </c>
      <c r="E75" s="22" t="s">
        <v>287</v>
      </c>
      <c r="F75" s="22" t="s">
        <v>285</v>
      </c>
      <c r="G75" s="35">
        <v>15000</v>
      </c>
      <c r="H75" s="35">
        <v>15100</v>
      </c>
      <c r="I75" s="75"/>
      <c r="J75" s="28">
        <f t="shared" si="1"/>
        <v>0</v>
      </c>
      <c r="K75" s="29" t="s">
        <v>26</v>
      </c>
      <c r="L75" s="30">
        <v>1500</v>
      </c>
      <c r="M75" s="30"/>
      <c r="N75" s="28"/>
      <c r="O75" s="30"/>
      <c r="P75" s="30"/>
      <c r="Q75" s="31"/>
    </row>
    <row r="76" s="1" customFormat="1" ht="19.05" customHeight="1" spans="1:17">
      <c r="A76" s="19">
        <v>71</v>
      </c>
      <c r="B76" s="32" t="s">
        <v>288</v>
      </c>
      <c r="C76" s="32" t="s">
        <v>289</v>
      </c>
      <c r="D76" s="33">
        <v>2</v>
      </c>
      <c r="E76" s="32" t="s">
        <v>290</v>
      </c>
      <c r="F76" s="32" t="s">
        <v>288</v>
      </c>
      <c r="G76" s="35">
        <v>30000</v>
      </c>
      <c r="H76" s="35">
        <v>31000</v>
      </c>
      <c r="I76" s="75"/>
      <c r="J76" s="28">
        <f t="shared" si="1"/>
        <v>0</v>
      </c>
      <c r="K76" s="29" t="s">
        <v>26</v>
      </c>
      <c r="L76" s="30">
        <v>3000</v>
      </c>
      <c r="M76" s="30"/>
      <c r="N76" s="28"/>
      <c r="O76" s="30"/>
      <c r="P76" s="30"/>
      <c r="Q76" s="31"/>
    </row>
    <row r="77" s="1" customFormat="1" ht="19.05" customHeight="1" spans="1:17">
      <c r="A77" s="19">
        <v>72</v>
      </c>
      <c r="B77" s="22" t="s">
        <v>291</v>
      </c>
      <c r="C77" s="22" t="s">
        <v>292</v>
      </c>
      <c r="D77" s="23">
        <v>3</v>
      </c>
      <c r="E77" s="22" t="s">
        <v>293</v>
      </c>
      <c r="F77" s="22" t="s">
        <v>291</v>
      </c>
      <c r="G77" s="35">
        <v>45000</v>
      </c>
      <c r="H77" s="35">
        <v>48000</v>
      </c>
      <c r="I77" s="75"/>
      <c r="J77" s="28">
        <f t="shared" si="1"/>
        <v>0</v>
      </c>
      <c r="K77" s="29" t="s">
        <v>26</v>
      </c>
      <c r="L77" s="30">
        <v>3000</v>
      </c>
      <c r="M77" s="30" t="s">
        <v>27</v>
      </c>
      <c r="N77" s="28"/>
      <c r="O77" s="30"/>
      <c r="P77" s="30"/>
      <c r="Q77" s="31"/>
    </row>
    <row r="78" s="1" customFormat="1" ht="19.05" customHeight="1" spans="1:17">
      <c r="A78" s="19">
        <v>73</v>
      </c>
      <c r="B78" s="46"/>
      <c r="C78" s="46"/>
      <c r="D78" s="47"/>
      <c r="E78" s="48"/>
      <c r="F78" s="48"/>
      <c r="G78" s="35"/>
      <c r="H78" s="35"/>
      <c r="I78" s="49"/>
      <c r="J78" s="28"/>
      <c r="K78" s="29"/>
      <c r="L78" s="30"/>
      <c r="M78" s="30"/>
      <c r="N78" s="28"/>
      <c r="O78" s="30"/>
      <c r="P78" s="30"/>
      <c r="Q78" s="31"/>
    </row>
    <row r="79" s="1" customFormat="1" ht="19.05" customHeight="1" spans="1:17">
      <c r="A79" s="19">
        <v>74</v>
      </c>
      <c r="B79" s="48"/>
      <c r="C79" s="46"/>
      <c r="D79" s="47"/>
      <c r="E79" s="48"/>
      <c r="F79" s="48"/>
      <c r="G79" s="35"/>
      <c r="H79" s="35"/>
      <c r="I79" s="49"/>
      <c r="J79" s="28"/>
      <c r="K79" s="29"/>
      <c r="L79" s="30"/>
      <c r="M79" s="30"/>
      <c r="N79" s="28"/>
      <c r="O79" s="30"/>
      <c r="P79" s="30"/>
      <c r="Q79" s="31"/>
    </row>
    <row r="80" s="1" customFormat="1" ht="19.05" customHeight="1" spans="1:17">
      <c r="A80" s="19">
        <v>75</v>
      </c>
      <c r="B80" s="50"/>
      <c r="C80" s="51"/>
      <c r="D80" s="52"/>
      <c r="E80" s="50"/>
      <c r="F80" s="50"/>
      <c r="G80" s="35"/>
      <c r="H80" s="35"/>
      <c r="I80" s="49"/>
      <c r="J80" s="28"/>
      <c r="K80" s="29"/>
      <c r="L80" s="30"/>
      <c r="M80" s="30"/>
      <c r="N80" s="28"/>
      <c r="O80" s="30"/>
      <c r="P80" s="30"/>
      <c r="Q80" s="31"/>
    </row>
    <row r="81" s="1" customFormat="1" ht="19.05" customHeight="1" spans="1:17">
      <c r="A81" s="19">
        <v>76</v>
      </c>
      <c r="B81" s="53"/>
      <c r="C81" s="53"/>
      <c r="D81" s="54"/>
      <c r="E81" s="55"/>
      <c r="F81" s="55"/>
      <c r="G81" s="35"/>
      <c r="H81" s="35"/>
      <c r="I81" s="49"/>
      <c r="J81" s="28"/>
      <c r="K81" s="29"/>
      <c r="L81" s="30"/>
      <c r="M81" s="30"/>
      <c r="N81" s="28"/>
      <c r="O81" s="30"/>
      <c r="P81" s="30"/>
      <c r="Q81" s="31"/>
    </row>
    <row r="82" s="1" customFormat="1" ht="19.05" customHeight="1" spans="1:17">
      <c r="A82" s="56" t="s">
        <v>59</v>
      </c>
      <c r="B82" s="57"/>
      <c r="C82" s="57"/>
      <c r="D82" s="57"/>
      <c r="E82" s="57"/>
      <c r="F82" s="57"/>
      <c r="G82" s="58"/>
      <c r="H82" s="30"/>
      <c r="I82" s="28"/>
      <c r="J82" s="28">
        <f>SUM(J6:J81)</f>
        <v>0</v>
      </c>
      <c r="K82" s="29"/>
      <c r="L82" s="30"/>
      <c r="M82" s="30"/>
      <c r="N82" s="28"/>
      <c r="O82" s="30"/>
      <c r="P82" s="30"/>
      <c r="Q82" s="30"/>
    </row>
    <row r="83" ht="19.05" customHeight="1"/>
    <row r="84" s="1" customFormat="1" ht="19.05" customHeight="1" spans="1:17">
      <c r="A84" s="59" t="s">
        <v>60</v>
      </c>
      <c r="B84" s="59"/>
      <c r="C84" s="59"/>
      <c r="D84" s="59"/>
      <c r="E84" s="59"/>
      <c r="G84" s="60" t="s">
        <v>61</v>
      </c>
      <c r="H84" s="61" t="s">
        <v>62</v>
      </c>
      <c r="I84" s="60" t="s">
        <v>63</v>
      </c>
      <c r="J84" s="60" t="s">
        <v>15</v>
      </c>
      <c r="K84" s="60" t="s">
        <v>18</v>
      </c>
      <c r="M84" s="62"/>
    </row>
    <row r="85" s="1" customFormat="1" ht="19.05" customHeight="1" spans="1:17">
      <c r="A85" s="63">
        <v>1</v>
      </c>
      <c r="B85" s="64" t="s">
        <v>64</v>
      </c>
      <c r="C85" s="64"/>
      <c r="D85" s="64"/>
      <c r="E85" s="64"/>
      <c r="G85" s="60" t="s">
        <v>65</v>
      </c>
      <c r="H85" s="60">
        <v>15000</v>
      </c>
      <c r="I85" s="61">
        <f>J85/H85</f>
        <v>0</v>
      </c>
      <c r="J85" s="61">
        <f>+J82</f>
        <v>0</v>
      </c>
      <c r="K85" s="65"/>
      <c r="M85" s="62"/>
    </row>
    <row r="86" s="1" customFormat="1" ht="28" customHeight="1" spans="1:17">
      <c r="A86" s="63">
        <v>2</v>
      </c>
      <c r="B86" s="64" t="s">
        <v>66</v>
      </c>
      <c r="C86" s="64"/>
      <c r="D86" s="64"/>
      <c r="E86" s="64"/>
      <c r="G86" s="60" t="s">
        <v>67</v>
      </c>
      <c r="H86" s="61"/>
      <c r="I86" s="60"/>
      <c r="J86" s="60">
        <f>+$H$85*I86</f>
        <v>0</v>
      </c>
      <c r="K86" s="89"/>
      <c r="M86" s="62"/>
    </row>
    <row r="87" s="1" customFormat="1" ht="21" customHeight="1" spans="1:17">
      <c r="A87" s="63">
        <v>3</v>
      </c>
      <c r="B87" s="64" t="s">
        <v>68</v>
      </c>
      <c r="C87" s="64"/>
      <c r="D87" s="64"/>
      <c r="E87" s="64"/>
      <c r="G87" s="60" t="s">
        <v>69</v>
      </c>
      <c r="H87" s="61"/>
      <c r="I87" s="61"/>
      <c r="J87" s="60">
        <f>+$H$85*I87</f>
        <v>0</v>
      </c>
      <c r="K87" s="65"/>
      <c r="M87" s="62"/>
    </row>
    <row r="88" s="1" customFormat="1" ht="19.05" customHeight="1" spans="1:17">
      <c r="A88" s="63">
        <v>4</v>
      </c>
      <c r="B88" s="64" t="s">
        <v>70</v>
      </c>
      <c r="C88" s="64"/>
      <c r="D88" s="64"/>
      <c r="E88" s="64"/>
      <c r="G88" s="60" t="s">
        <v>71</v>
      </c>
      <c r="H88" s="61"/>
      <c r="I88" s="61"/>
      <c r="J88" s="60"/>
      <c r="K88" s="65"/>
      <c r="M88" s="62"/>
      <c r="N88" s="62"/>
    </row>
    <row r="89" s="1" customFormat="1" ht="21" customHeight="1" spans="1:17">
      <c r="A89" s="67"/>
      <c r="B89" s="67"/>
      <c r="C89" s="67"/>
      <c r="D89" s="67"/>
      <c r="E89" s="67"/>
      <c r="G89" s="60" t="s">
        <v>72</v>
      </c>
      <c r="H89" s="61"/>
      <c r="I89" s="61"/>
      <c r="J89" s="60"/>
      <c r="K89" s="65"/>
      <c r="M89" s="62"/>
      <c r="N89" s="62"/>
      <c r="O89" s="7"/>
      <c r="P89" s="7"/>
    </row>
    <row r="90" s="1" customFormat="1" ht="19.05" customHeight="1" spans="1:17">
      <c r="G90" s="60" t="s">
        <v>73</v>
      </c>
      <c r="H90" s="60">
        <v>1</v>
      </c>
      <c r="I90" s="60"/>
      <c r="J90" s="60"/>
      <c r="K90" s="68" t="s">
        <v>74</v>
      </c>
      <c r="M90" s="62"/>
      <c r="N90" s="62"/>
      <c r="O90" s="7"/>
      <c r="P90" s="7"/>
    </row>
    <row r="91" s="1" customFormat="1" ht="19.05" customHeight="1" spans="1:17">
      <c r="A91" s="59" t="s">
        <v>294</v>
      </c>
      <c r="B91" s="59"/>
      <c r="C91" s="59"/>
      <c r="D91" s="59"/>
      <c r="E91" s="59"/>
      <c r="G91" s="60" t="s">
        <v>75</v>
      </c>
      <c r="H91" s="60">
        <v>1</v>
      </c>
      <c r="I91" s="60"/>
      <c r="J91" s="60"/>
      <c r="K91" s="65"/>
      <c r="M91" s="62"/>
      <c r="N91" s="62"/>
      <c r="O91" s="7"/>
      <c r="P91" s="7"/>
    </row>
    <row r="92" s="1" customFormat="1" ht="19.05" customHeight="1" spans="1:17">
      <c r="A92" s="63">
        <v>1</v>
      </c>
      <c r="B92" s="64" t="s">
        <v>295</v>
      </c>
      <c r="C92" s="64"/>
      <c r="D92" s="64"/>
      <c r="E92" s="69"/>
      <c r="G92" s="60" t="s">
        <v>76</v>
      </c>
      <c r="H92" s="60">
        <v>1</v>
      </c>
      <c r="I92" s="60"/>
      <c r="J92" s="60"/>
      <c r="K92" s="65"/>
      <c r="M92" s="70"/>
      <c r="N92" s="70"/>
      <c r="O92" s="7"/>
      <c r="P92" s="7"/>
    </row>
    <row r="93" s="1" customFormat="1" ht="19.05" customHeight="1" spans="1:17">
      <c r="A93" s="63">
        <v>2</v>
      </c>
      <c r="B93" s="64" t="s">
        <v>296</v>
      </c>
      <c r="C93" s="64"/>
      <c r="D93" s="64"/>
      <c r="E93" s="71"/>
      <c r="G93" s="60" t="s">
        <v>77</v>
      </c>
      <c r="H93" s="61"/>
      <c r="I93" s="61">
        <f>J93/H85</f>
        <v>0</v>
      </c>
      <c r="J93" s="61">
        <f>SUM(J85:J92)</f>
        <v>0</v>
      </c>
      <c r="K93" s="65"/>
      <c r="M93" s="62"/>
      <c r="N93" s="62"/>
      <c r="O93" s="7"/>
      <c r="P93" s="7"/>
    </row>
    <row r="94" s="1" customFormat="1" ht="19.05" customHeight="1" spans="1:17">
      <c r="A94" s="63">
        <v>3</v>
      </c>
      <c r="B94" s="64" t="s">
        <v>297</v>
      </c>
      <c r="C94" s="64"/>
      <c r="D94" s="64"/>
      <c r="E94" s="72"/>
      <c r="G94" s="60" t="s">
        <v>78</v>
      </c>
      <c r="H94" s="61"/>
      <c r="I94" s="61">
        <f>I93/6.8</f>
        <v>0</v>
      </c>
      <c r="J94" s="61">
        <f>J93/6.8</f>
        <v>0</v>
      </c>
      <c r="K94" s="65"/>
      <c r="M94" s="62"/>
      <c r="N94" s="62"/>
      <c r="O94" s="7"/>
      <c r="P94" s="7"/>
    </row>
    <row r="95" s="1" customFormat="1" ht="19.05" customHeight="1" spans="1:17">
      <c r="B95" s="6"/>
      <c r="M95" s="62"/>
      <c r="N95" s="62"/>
      <c r="O95" s="7"/>
      <c r="P95" s="7"/>
    </row>
  </sheetData>
  <mergeCells count="17">
    <mergeCell ref="A1:Q1"/>
    <mergeCell ref="A2:Q2"/>
    <mergeCell ref="A3:B3"/>
    <mergeCell ref="M3:Q3"/>
    <mergeCell ref="A4:F4"/>
    <mergeCell ref="G4:L4"/>
    <mergeCell ref="M4:Q4"/>
    <mergeCell ref="A82:G82"/>
    <mergeCell ref="A84:E84"/>
    <mergeCell ref="B85:E85"/>
    <mergeCell ref="B86:E86"/>
    <mergeCell ref="B87:E87"/>
    <mergeCell ref="B88:E88"/>
    <mergeCell ref="A91:E91"/>
    <mergeCell ref="B92:D92"/>
    <mergeCell ref="B93:D93"/>
    <mergeCell ref="B94:D94"/>
  </mergeCells>
  <hyperlinks>
    <hyperlink ref="E11" r:id="rId1" display="CCTC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7"/>
  <sheetViews>
    <sheetView topLeftCell="A57" workbookViewId="0">
      <selection activeCell="F15" sqref="F15"/>
    </sheetView>
  </sheetViews>
  <sheetFormatPr defaultColWidth="9" defaultRowHeight="12"/>
  <cols>
    <col min="1" max="1" width="5.21296296296296" style="1" customWidth="1"/>
    <col min="2" max="2" width="51.5555555555556" style="6" customWidth="1"/>
    <col min="3" max="3" width="18.7777777777778" style="1" hidden="1" customWidth="1"/>
    <col min="4" max="4" width="5" style="1" hidden="1" customWidth="1"/>
    <col min="5" max="5" width="30.4444444444444" style="1" hidden="1" customWidth="1"/>
    <col min="6" max="6" width="39.8888888888889" style="1" customWidth="1"/>
    <col min="7" max="7" width="13.8796296296296" style="7" customWidth="1"/>
    <col min="8" max="8" width="10.6666666666667" style="7" customWidth="1"/>
    <col min="9" max="9" width="11.1111111111111" style="8" customWidth="1"/>
    <col min="10" max="10" width="14.4444444444444" style="8" customWidth="1"/>
    <col min="11" max="11" width="15.5555555555556" style="8" customWidth="1"/>
    <col min="12" max="12" width="7.11111111111111" style="7" customWidth="1"/>
    <col min="13" max="13" width="42.8888888888889" style="7" customWidth="1"/>
    <col min="14" max="14" width="17.7777777777778" style="7" customWidth="1"/>
    <col min="15" max="15" width="16.3333333333333" style="8" customWidth="1"/>
    <col min="16" max="16" width="9" style="7"/>
    <col min="17" max="17" width="11.1111111111111" style="1" customWidth="1"/>
    <col min="18" max="16384" width="9" style="1"/>
  </cols>
  <sheetData>
    <row r="1" s="1" customFormat="1" ht="20.4" spans="1:17">
      <c r="A1" s="9" t="s">
        <v>298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="2" customFormat="1" ht="20.4" spans="1:17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="3" customFormat="1" ht="20.4" spans="1:17">
      <c r="A3" s="11" t="s">
        <v>299</v>
      </c>
      <c r="B3" s="11"/>
      <c r="C3" s="12"/>
      <c r="D3" s="12"/>
      <c r="E3" s="12"/>
      <c r="F3" s="12"/>
      <c r="G3" s="12"/>
      <c r="H3" s="12"/>
      <c r="I3" s="12"/>
      <c r="J3" s="12"/>
      <c r="K3" s="12"/>
      <c r="L3" s="12"/>
      <c r="M3" s="13" t="s">
        <v>81</v>
      </c>
      <c r="N3" s="13"/>
      <c r="O3" s="13"/>
      <c r="P3" s="13"/>
      <c r="Q3" s="13"/>
    </row>
    <row r="4" s="4" customFormat="1" ht="19.05" customHeight="1" spans="1:17">
      <c r="A4" s="14" t="s">
        <v>3</v>
      </c>
      <c r="B4" s="14"/>
      <c r="C4" s="14"/>
      <c r="D4" s="14"/>
      <c r="E4" s="14"/>
      <c r="F4" s="14"/>
      <c r="G4" s="15" t="s">
        <v>4</v>
      </c>
      <c r="H4" s="16"/>
      <c r="I4" s="16"/>
      <c r="J4" s="16"/>
      <c r="K4" s="16"/>
      <c r="L4" s="17"/>
      <c r="M4" s="18" t="s">
        <v>5</v>
      </c>
      <c r="N4" s="18"/>
      <c r="O4" s="18"/>
      <c r="P4" s="18"/>
      <c r="Q4" s="18"/>
    </row>
    <row r="5" s="5" customFormat="1" ht="25.05" customHeight="1" spans="1:17">
      <c r="A5" s="19" t="s">
        <v>6</v>
      </c>
      <c r="B5" s="19" t="s">
        <v>7</v>
      </c>
      <c r="C5" s="19" t="s">
        <v>8</v>
      </c>
      <c r="D5" s="19" t="s">
        <v>9</v>
      </c>
      <c r="E5" s="19" t="s">
        <v>10</v>
      </c>
      <c r="F5" s="20" t="s">
        <v>11</v>
      </c>
      <c r="G5" s="19" t="s">
        <v>12</v>
      </c>
      <c r="H5" s="19" t="s">
        <v>13</v>
      </c>
      <c r="I5" s="21" t="s">
        <v>14</v>
      </c>
      <c r="J5" s="21" t="s">
        <v>15</v>
      </c>
      <c r="K5" s="21" t="s">
        <v>16</v>
      </c>
      <c r="L5" s="19" t="s">
        <v>17</v>
      </c>
      <c r="M5" s="19" t="s">
        <v>18</v>
      </c>
      <c r="N5" s="21" t="s">
        <v>19</v>
      </c>
      <c r="O5" s="19" t="s">
        <v>20</v>
      </c>
      <c r="P5" s="19" t="s">
        <v>16</v>
      </c>
      <c r="Q5" s="19" t="s">
        <v>21</v>
      </c>
    </row>
    <row r="6" s="1" customFormat="1" ht="19.05" customHeight="1" spans="1:17">
      <c r="A6" s="19">
        <v>1</v>
      </c>
      <c r="B6" s="22" t="s">
        <v>300</v>
      </c>
      <c r="C6" s="22" t="s">
        <v>301</v>
      </c>
      <c r="D6" s="23">
        <v>1</v>
      </c>
      <c r="E6" s="24" t="s">
        <v>302</v>
      </c>
      <c r="F6" s="24" t="s">
        <v>303</v>
      </c>
      <c r="G6" s="25">
        <v>15000</v>
      </c>
      <c r="H6" s="26">
        <v>18000</v>
      </c>
      <c r="I6" s="27"/>
      <c r="J6" s="28">
        <f t="shared" ref="J6:J68" si="0">I6*H6</f>
        <v>0</v>
      </c>
      <c r="K6" s="29" t="s">
        <v>26</v>
      </c>
      <c r="L6" s="30">
        <v>3000</v>
      </c>
      <c r="M6" s="30" t="s">
        <v>27</v>
      </c>
      <c r="N6" s="28"/>
      <c r="O6" s="30"/>
      <c r="P6" s="30"/>
      <c r="Q6" s="31"/>
    </row>
    <row r="7" s="1" customFormat="1" ht="19.05" customHeight="1" spans="1:17">
      <c r="A7" s="19">
        <v>2</v>
      </c>
      <c r="B7" s="32" t="s">
        <v>304</v>
      </c>
      <c r="C7" s="32" t="s">
        <v>305</v>
      </c>
      <c r="D7" s="33">
        <v>1</v>
      </c>
      <c r="E7" s="34" t="s">
        <v>302</v>
      </c>
      <c r="F7" s="34" t="s">
        <v>306</v>
      </c>
      <c r="G7" s="25">
        <v>15000</v>
      </c>
      <c r="H7" s="35">
        <v>18000</v>
      </c>
      <c r="I7" s="27"/>
      <c r="J7" s="28">
        <f t="shared" si="0"/>
        <v>0</v>
      </c>
      <c r="K7" s="29" t="s">
        <v>26</v>
      </c>
      <c r="L7" s="30">
        <v>3000</v>
      </c>
      <c r="M7" s="30" t="s">
        <v>27</v>
      </c>
      <c r="N7" s="28"/>
      <c r="O7" s="30"/>
      <c r="P7" s="30"/>
      <c r="Q7" s="31"/>
    </row>
    <row r="8" s="1" customFormat="1" ht="19.05" customHeight="1" spans="1:17">
      <c r="A8" s="19">
        <v>3</v>
      </c>
      <c r="B8" s="22" t="s">
        <v>307</v>
      </c>
      <c r="C8" s="22" t="s">
        <v>308</v>
      </c>
      <c r="D8" s="23">
        <v>1</v>
      </c>
      <c r="E8" s="24" t="s">
        <v>302</v>
      </c>
      <c r="F8" s="24" t="s">
        <v>309</v>
      </c>
      <c r="G8" s="25">
        <v>15000</v>
      </c>
      <c r="H8" s="35">
        <v>18000</v>
      </c>
      <c r="I8" s="27"/>
      <c r="J8" s="28">
        <f t="shared" si="0"/>
        <v>0</v>
      </c>
      <c r="K8" s="29" t="s">
        <v>26</v>
      </c>
      <c r="L8" s="30">
        <v>3000</v>
      </c>
      <c r="M8" s="30" t="s">
        <v>27</v>
      </c>
      <c r="N8" s="28"/>
      <c r="O8" s="30"/>
      <c r="P8" s="30"/>
      <c r="Q8" s="31"/>
    </row>
    <row r="9" s="1" customFormat="1" ht="19.05" customHeight="1" spans="1:17">
      <c r="A9" s="19">
        <v>4</v>
      </c>
      <c r="B9" s="32" t="s">
        <v>96</v>
      </c>
      <c r="C9" s="32" t="s">
        <v>310</v>
      </c>
      <c r="D9" s="33">
        <v>55</v>
      </c>
      <c r="E9" s="34" t="s">
        <v>33</v>
      </c>
      <c r="F9" s="36" t="s">
        <v>98</v>
      </c>
      <c r="G9" s="25">
        <v>825000</v>
      </c>
      <c r="H9" s="35">
        <v>830000</v>
      </c>
      <c r="I9" s="27"/>
      <c r="J9" s="28">
        <f t="shared" si="0"/>
        <v>0</v>
      </c>
      <c r="K9" s="29" t="s">
        <v>26</v>
      </c>
      <c r="L9" s="30">
        <v>10000</v>
      </c>
      <c r="M9" s="30" t="s">
        <v>27</v>
      </c>
      <c r="N9" s="28"/>
      <c r="O9" s="30"/>
      <c r="P9" s="30"/>
      <c r="Q9" s="31"/>
    </row>
    <row r="10" s="1" customFormat="1" ht="19.05" customHeight="1" spans="1:17">
      <c r="A10" s="19">
        <v>5</v>
      </c>
      <c r="B10" s="22" t="s">
        <v>99</v>
      </c>
      <c r="C10" s="22" t="s">
        <v>311</v>
      </c>
      <c r="D10" s="23">
        <v>6</v>
      </c>
      <c r="E10" s="24" t="s">
        <v>24</v>
      </c>
      <c r="F10" s="36" t="s">
        <v>125</v>
      </c>
      <c r="G10" s="25">
        <v>90000</v>
      </c>
      <c r="H10" s="35">
        <v>100000</v>
      </c>
      <c r="I10" s="27"/>
      <c r="J10" s="28">
        <f t="shared" si="0"/>
        <v>0</v>
      </c>
      <c r="K10" s="29" t="s">
        <v>26</v>
      </c>
      <c r="L10" s="30">
        <v>10000</v>
      </c>
      <c r="M10" s="30" t="s">
        <v>27</v>
      </c>
      <c r="N10" s="28"/>
      <c r="O10" s="30"/>
      <c r="P10" s="30"/>
      <c r="Q10" s="31"/>
    </row>
    <row r="11" s="1" customFormat="1" ht="19.05" customHeight="1" spans="1:17">
      <c r="A11" s="19">
        <v>6</v>
      </c>
      <c r="B11" s="32" t="s">
        <v>312</v>
      </c>
      <c r="C11" s="32" t="s">
        <v>313</v>
      </c>
      <c r="D11" s="33">
        <v>11</v>
      </c>
      <c r="E11" s="34" t="s">
        <v>105</v>
      </c>
      <c r="F11" s="36" t="s">
        <v>314</v>
      </c>
      <c r="G11" s="25">
        <v>165000</v>
      </c>
      <c r="H11" s="25">
        <v>168000</v>
      </c>
      <c r="I11" s="27"/>
      <c r="J11" s="28">
        <f t="shared" si="0"/>
        <v>0</v>
      </c>
      <c r="K11" s="29" t="s">
        <v>26</v>
      </c>
      <c r="L11" s="30">
        <v>4000</v>
      </c>
      <c r="M11" s="30" t="s">
        <v>27</v>
      </c>
      <c r="N11" s="28"/>
      <c r="O11" s="30"/>
      <c r="P11" s="30"/>
      <c r="Q11" s="31"/>
    </row>
    <row r="12" s="1" customFormat="1" ht="19.05" customHeight="1" spans="1:17">
      <c r="A12" s="19">
        <v>7</v>
      </c>
      <c r="B12" s="22" t="s">
        <v>315</v>
      </c>
      <c r="C12" s="22" t="s">
        <v>316</v>
      </c>
      <c r="D12" s="23">
        <v>5</v>
      </c>
      <c r="E12" s="24" t="s">
        <v>24</v>
      </c>
      <c r="F12" s="36" t="s">
        <v>317</v>
      </c>
      <c r="G12" s="25">
        <v>75000</v>
      </c>
      <c r="H12" s="35">
        <v>80000</v>
      </c>
      <c r="I12" s="27"/>
      <c r="J12" s="28">
        <f t="shared" si="0"/>
        <v>0</v>
      </c>
      <c r="K12" s="29" t="s">
        <v>26</v>
      </c>
      <c r="L12" s="30">
        <v>10000</v>
      </c>
      <c r="M12" s="30" t="s">
        <v>27</v>
      </c>
      <c r="N12" s="28"/>
      <c r="O12" s="30"/>
      <c r="P12" s="30"/>
      <c r="Q12" s="31"/>
    </row>
    <row r="13" s="1" customFormat="1" ht="19.05" customHeight="1" spans="1:17">
      <c r="A13" s="19">
        <v>8</v>
      </c>
      <c r="B13" s="32" t="s">
        <v>103</v>
      </c>
      <c r="C13" s="32" t="s">
        <v>318</v>
      </c>
      <c r="D13" s="33">
        <v>6</v>
      </c>
      <c r="E13" s="34" t="s">
        <v>33</v>
      </c>
      <c r="F13" s="36" t="s">
        <v>319</v>
      </c>
      <c r="G13" s="25">
        <v>90000</v>
      </c>
      <c r="H13" s="35">
        <v>100000</v>
      </c>
      <c r="I13" s="27"/>
      <c r="J13" s="28">
        <f t="shared" si="0"/>
        <v>0</v>
      </c>
      <c r="K13" s="29" t="s">
        <v>26</v>
      </c>
      <c r="L13" s="30">
        <v>10000</v>
      </c>
      <c r="M13" s="30" t="s">
        <v>27</v>
      </c>
      <c r="N13" s="28"/>
      <c r="O13" s="30"/>
      <c r="P13" s="30"/>
      <c r="Q13" s="31"/>
    </row>
    <row r="14" s="1" customFormat="1" ht="19.05" customHeight="1" spans="1:17">
      <c r="A14" s="19">
        <v>9</v>
      </c>
      <c r="B14" s="22" t="s">
        <v>109</v>
      </c>
      <c r="C14" s="22" t="s">
        <v>320</v>
      </c>
      <c r="D14" s="23">
        <v>9</v>
      </c>
      <c r="E14" s="24" t="s">
        <v>24</v>
      </c>
      <c r="F14" s="36" t="s">
        <v>111</v>
      </c>
      <c r="G14" s="25">
        <v>135000</v>
      </c>
      <c r="H14" s="35">
        <v>140000</v>
      </c>
      <c r="I14" s="27"/>
      <c r="J14" s="28">
        <f t="shared" si="0"/>
        <v>0</v>
      </c>
      <c r="K14" s="29" t="s">
        <v>26</v>
      </c>
      <c r="L14" s="30">
        <v>10000</v>
      </c>
      <c r="M14" s="30" t="s">
        <v>27</v>
      </c>
      <c r="N14" s="28"/>
      <c r="O14" s="30"/>
      <c r="P14" s="30"/>
      <c r="Q14" s="31"/>
    </row>
    <row r="15" s="1" customFormat="1" ht="19.05" customHeight="1" spans="1:17">
      <c r="A15" s="19">
        <v>10</v>
      </c>
      <c r="B15" s="32" t="s">
        <v>107</v>
      </c>
      <c r="C15" s="32" t="s">
        <v>321</v>
      </c>
      <c r="D15" s="33">
        <v>7</v>
      </c>
      <c r="E15" s="34" t="s">
        <v>33</v>
      </c>
      <c r="F15" s="36" t="s">
        <v>135</v>
      </c>
      <c r="G15" s="25">
        <v>105000</v>
      </c>
      <c r="H15" s="35">
        <v>108000</v>
      </c>
      <c r="I15" s="27"/>
      <c r="J15" s="28">
        <f t="shared" si="0"/>
        <v>0</v>
      </c>
      <c r="K15" s="29" t="s">
        <v>26</v>
      </c>
      <c r="L15" s="30">
        <v>4000</v>
      </c>
      <c r="M15" s="30" t="s">
        <v>27</v>
      </c>
      <c r="N15" s="28"/>
      <c r="O15" s="30"/>
      <c r="P15" s="30"/>
      <c r="Q15" s="31"/>
    </row>
    <row r="16" s="1" customFormat="1" ht="19.05" customHeight="1" spans="1:17">
      <c r="A16" s="19">
        <v>11</v>
      </c>
      <c r="B16" s="22" t="s">
        <v>322</v>
      </c>
      <c r="C16" s="22" t="s">
        <v>323</v>
      </c>
      <c r="D16" s="23">
        <v>7</v>
      </c>
      <c r="E16" s="24" t="s">
        <v>33</v>
      </c>
      <c r="F16" s="36" t="s">
        <v>324</v>
      </c>
      <c r="G16" s="25">
        <v>105000</v>
      </c>
      <c r="H16" s="35">
        <v>108000</v>
      </c>
      <c r="I16" s="27"/>
      <c r="J16" s="28">
        <f t="shared" si="0"/>
        <v>0</v>
      </c>
      <c r="K16" s="29" t="s">
        <v>26</v>
      </c>
      <c r="L16" s="30">
        <v>4000</v>
      </c>
      <c r="M16" s="30" t="s">
        <v>27</v>
      </c>
      <c r="N16" s="28"/>
      <c r="O16" s="30"/>
      <c r="P16" s="30"/>
      <c r="Q16" s="31"/>
    </row>
    <row r="17" s="1" customFormat="1" ht="19.05" customHeight="1" spans="1:17">
      <c r="A17" s="19">
        <v>12</v>
      </c>
      <c r="B17" s="32" t="s">
        <v>325</v>
      </c>
      <c r="C17" s="32" t="s">
        <v>326</v>
      </c>
      <c r="D17" s="33">
        <v>4</v>
      </c>
      <c r="E17" s="36" t="s">
        <v>24</v>
      </c>
      <c r="F17" s="36" t="s">
        <v>327</v>
      </c>
      <c r="G17" s="25">
        <v>60000</v>
      </c>
      <c r="H17" s="35">
        <v>70000</v>
      </c>
      <c r="I17" s="27"/>
      <c r="J17" s="28">
        <f t="shared" si="0"/>
        <v>0</v>
      </c>
      <c r="K17" s="29" t="s">
        <v>26</v>
      </c>
      <c r="L17" s="30">
        <v>10000</v>
      </c>
      <c r="M17" s="30" t="s">
        <v>27</v>
      </c>
      <c r="N17" s="28"/>
      <c r="O17" s="30"/>
      <c r="P17" s="30"/>
      <c r="Q17" s="31"/>
    </row>
    <row r="18" s="1" customFormat="1" ht="19.05" customHeight="1" spans="1:17">
      <c r="A18" s="19">
        <v>13</v>
      </c>
      <c r="B18" s="22" t="s">
        <v>328</v>
      </c>
      <c r="C18" s="22" t="s">
        <v>329</v>
      </c>
      <c r="D18" s="23">
        <v>4</v>
      </c>
      <c r="E18" s="36" t="s">
        <v>24</v>
      </c>
      <c r="F18" s="37" t="s">
        <v>330</v>
      </c>
      <c r="G18" s="25">
        <v>60000</v>
      </c>
      <c r="H18" s="35">
        <v>70000</v>
      </c>
      <c r="I18" s="27"/>
      <c r="J18" s="28">
        <f t="shared" si="0"/>
        <v>0</v>
      </c>
      <c r="K18" s="29" t="s">
        <v>26</v>
      </c>
      <c r="L18" s="30">
        <v>10000</v>
      </c>
      <c r="M18" s="30" t="s">
        <v>27</v>
      </c>
      <c r="N18" s="28"/>
      <c r="O18" s="30"/>
      <c r="P18" s="30"/>
      <c r="Q18" s="31"/>
    </row>
    <row r="19" s="1" customFormat="1" ht="19.05" customHeight="1" spans="1:17">
      <c r="A19" s="19">
        <v>14</v>
      </c>
      <c r="B19" s="32" t="s">
        <v>331</v>
      </c>
      <c r="C19" s="32" t="s">
        <v>332</v>
      </c>
      <c r="D19" s="33">
        <v>2</v>
      </c>
      <c r="E19" s="36" t="s">
        <v>33</v>
      </c>
      <c r="F19" s="36" t="s">
        <v>333</v>
      </c>
      <c r="G19" s="25">
        <v>30000</v>
      </c>
      <c r="H19" s="35">
        <v>40000</v>
      </c>
      <c r="I19" s="27"/>
      <c r="J19" s="28">
        <f t="shared" si="0"/>
        <v>0</v>
      </c>
      <c r="K19" s="29" t="s">
        <v>26</v>
      </c>
      <c r="L19" s="30">
        <v>10000</v>
      </c>
      <c r="M19" s="30" t="s">
        <v>27</v>
      </c>
      <c r="N19" s="28"/>
      <c r="O19" s="30"/>
      <c r="P19" s="30"/>
      <c r="Q19" s="31"/>
    </row>
    <row r="20" s="1" customFormat="1" ht="19.05" customHeight="1" spans="1:17">
      <c r="A20" s="19">
        <v>15</v>
      </c>
      <c r="B20" s="22" t="s">
        <v>334</v>
      </c>
      <c r="C20" s="22" t="s">
        <v>335</v>
      </c>
      <c r="D20" s="23">
        <v>4</v>
      </c>
      <c r="E20" s="37" t="s">
        <v>105</v>
      </c>
      <c r="F20" s="37" t="s">
        <v>336</v>
      </c>
      <c r="G20" s="25">
        <v>60000</v>
      </c>
      <c r="H20" s="35">
        <v>70000</v>
      </c>
      <c r="I20" s="27"/>
      <c r="J20" s="28">
        <f t="shared" si="0"/>
        <v>0</v>
      </c>
      <c r="K20" s="29" t="s">
        <v>26</v>
      </c>
      <c r="L20" s="30">
        <v>10000</v>
      </c>
      <c r="M20" s="30" t="s">
        <v>27</v>
      </c>
      <c r="N20" s="28"/>
      <c r="O20" s="30"/>
      <c r="P20" s="30"/>
      <c r="Q20" s="31"/>
    </row>
    <row r="21" s="1" customFormat="1" ht="19.05" customHeight="1" spans="1:17">
      <c r="A21" s="19">
        <v>16</v>
      </c>
      <c r="B21" s="32" t="s">
        <v>337</v>
      </c>
      <c r="C21" s="32" t="s">
        <v>338</v>
      </c>
      <c r="D21" s="33">
        <v>4</v>
      </c>
      <c r="E21" s="37" t="s">
        <v>24</v>
      </c>
      <c r="F21" s="37" t="s">
        <v>339</v>
      </c>
      <c r="G21" s="25">
        <v>60000</v>
      </c>
      <c r="H21" s="35">
        <v>70000</v>
      </c>
      <c r="I21" s="27"/>
      <c r="J21" s="28">
        <f t="shared" si="0"/>
        <v>0</v>
      </c>
      <c r="K21" s="29" t="s">
        <v>26</v>
      </c>
      <c r="L21" s="30">
        <v>10000</v>
      </c>
      <c r="M21" s="30" t="s">
        <v>27</v>
      </c>
      <c r="N21" s="28"/>
      <c r="O21" s="30"/>
      <c r="P21" s="30"/>
      <c r="Q21" s="31"/>
    </row>
    <row r="22" s="1" customFormat="1" ht="19.05" customHeight="1" spans="1:17">
      <c r="A22" s="19">
        <v>17</v>
      </c>
      <c r="B22" s="22" t="s">
        <v>116</v>
      </c>
      <c r="C22" s="22" t="s">
        <v>340</v>
      </c>
      <c r="D22" s="23">
        <v>1</v>
      </c>
      <c r="E22" s="36" t="s">
        <v>33</v>
      </c>
      <c r="F22" s="36" t="s">
        <v>341</v>
      </c>
      <c r="G22" s="25">
        <v>15000</v>
      </c>
      <c r="H22" s="35">
        <v>16000</v>
      </c>
      <c r="I22" s="27"/>
      <c r="J22" s="28">
        <f t="shared" si="0"/>
        <v>0</v>
      </c>
      <c r="K22" s="29" t="s">
        <v>26</v>
      </c>
      <c r="L22" s="30">
        <v>4000</v>
      </c>
      <c r="M22" s="30" t="s">
        <v>27</v>
      </c>
      <c r="N22" s="28"/>
      <c r="O22" s="30"/>
      <c r="P22" s="30"/>
      <c r="Q22" s="31"/>
    </row>
    <row r="23" s="1" customFormat="1" ht="19.05" customHeight="1" spans="1:17">
      <c r="A23" s="19">
        <v>18</v>
      </c>
      <c r="B23" s="32" t="s">
        <v>342</v>
      </c>
      <c r="C23" s="32" t="s">
        <v>343</v>
      </c>
      <c r="D23" s="33">
        <v>4</v>
      </c>
      <c r="E23" s="36" t="s">
        <v>33</v>
      </c>
      <c r="F23" s="37" t="s">
        <v>344</v>
      </c>
      <c r="G23" s="25">
        <v>60000</v>
      </c>
      <c r="H23" s="35">
        <v>70000</v>
      </c>
      <c r="I23" s="27"/>
      <c r="J23" s="28">
        <f t="shared" si="0"/>
        <v>0</v>
      </c>
      <c r="K23" s="29" t="s">
        <v>26</v>
      </c>
      <c r="L23" s="30">
        <v>10000</v>
      </c>
      <c r="M23" s="30" t="s">
        <v>27</v>
      </c>
      <c r="N23" s="28"/>
      <c r="O23" s="30"/>
      <c r="P23" s="30"/>
      <c r="Q23" s="31"/>
    </row>
    <row r="24" s="1" customFormat="1" ht="19.05" customHeight="1" spans="1:17">
      <c r="A24" s="19">
        <v>19</v>
      </c>
      <c r="B24" s="22" t="s">
        <v>116</v>
      </c>
      <c r="C24" s="22" t="s">
        <v>345</v>
      </c>
      <c r="D24" s="23">
        <v>2</v>
      </c>
      <c r="E24" s="37" t="s">
        <v>346</v>
      </c>
      <c r="F24" s="37" t="s">
        <v>347</v>
      </c>
      <c r="G24" s="25">
        <v>30000</v>
      </c>
      <c r="H24" s="35">
        <v>40000</v>
      </c>
      <c r="I24" s="27"/>
      <c r="J24" s="28">
        <f t="shared" si="0"/>
        <v>0</v>
      </c>
      <c r="K24" s="29" t="s">
        <v>26</v>
      </c>
      <c r="L24" s="30">
        <v>10000</v>
      </c>
      <c r="M24" s="30" t="s">
        <v>27</v>
      </c>
      <c r="N24" s="28"/>
      <c r="O24" s="30"/>
      <c r="P24" s="30"/>
      <c r="Q24" s="31"/>
    </row>
    <row r="25" s="1" customFormat="1" ht="19.05" customHeight="1" spans="1:17">
      <c r="A25" s="19">
        <v>20</v>
      </c>
      <c r="B25" s="32" t="s">
        <v>348</v>
      </c>
      <c r="C25" s="32" t="s">
        <v>349</v>
      </c>
      <c r="D25" s="33">
        <v>1</v>
      </c>
      <c r="E25" s="34" t="s">
        <v>350</v>
      </c>
      <c r="F25" s="34" t="s">
        <v>348</v>
      </c>
      <c r="G25" s="25">
        <v>15000</v>
      </c>
      <c r="H25" s="35">
        <v>18000</v>
      </c>
      <c r="I25" s="27"/>
      <c r="J25" s="28">
        <f t="shared" si="0"/>
        <v>0</v>
      </c>
      <c r="K25" s="29" t="s">
        <v>26</v>
      </c>
      <c r="L25" s="30">
        <v>3000</v>
      </c>
      <c r="M25" s="30" t="s">
        <v>27</v>
      </c>
      <c r="N25" s="28"/>
      <c r="O25" s="30"/>
      <c r="P25" s="30"/>
      <c r="Q25" s="31"/>
    </row>
    <row r="26" s="1" customFormat="1" ht="19.05" customHeight="1" spans="1:17">
      <c r="A26" s="19">
        <v>21</v>
      </c>
      <c r="B26" s="22" t="s">
        <v>351</v>
      </c>
      <c r="C26" s="22" t="s">
        <v>206</v>
      </c>
      <c r="D26" s="23">
        <v>1</v>
      </c>
      <c r="E26" s="24" t="s">
        <v>352</v>
      </c>
      <c r="F26" s="24" t="s">
        <v>353</v>
      </c>
      <c r="G26" s="25">
        <v>15000</v>
      </c>
      <c r="H26" s="35">
        <v>18000</v>
      </c>
      <c r="I26" s="27"/>
      <c r="J26" s="28">
        <f t="shared" si="0"/>
        <v>0</v>
      </c>
      <c r="K26" s="29" t="s">
        <v>26</v>
      </c>
      <c r="L26" s="30">
        <v>3000</v>
      </c>
      <c r="M26" s="30" t="s">
        <v>27</v>
      </c>
      <c r="N26" s="28"/>
      <c r="O26" s="30"/>
      <c r="P26" s="30"/>
      <c r="Q26" s="31"/>
    </row>
    <row r="27" s="1" customFormat="1" ht="19.05" customHeight="1" spans="1:17">
      <c r="A27" s="19">
        <v>22</v>
      </c>
      <c r="B27" s="32" t="s">
        <v>354</v>
      </c>
      <c r="C27" s="32" t="s">
        <v>355</v>
      </c>
      <c r="D27" s="33">
        <v>1</v>
      </c>
      <c r="E27" s="34" t="s">
        <v>356</v>
      </c>
      <c r="F27" s="34" t="s">
        <v>357</v>
      </c>
      <c r="G27" s="25">
        <v>15000</v>
      </c>
      <c r="H27" s="35">
        <v>18000</v>
      </c>
      <c r="I27" s="27"/>
      <c r="J27" s="28">
        <f t="shared" si="0"/>
        <v>0</v>
      </c>
      <c r="K27" s="29" t="s">
        <v>26</v>
      </c>
      <c r="L27" s="30">
        <v>3000</v>
      </c>
      <c r="M27" s="30" t="s">
        <v>27</v>
      </c>
      <c r="N27" s="28"/>
      <c r="O27" s="30"/>
      <c r="P27" s="30"/>
      <c r="Q27" s="31"/>
    </row>
    <row r="28" s="1" customFormat="1" ht="19.05" customHeight="1" spans="1:17">
      <c r="A28" s="19">
        <v>23</v>
      </c>
      <c r="B28" s="22" t="s">
        <v>358</v>
      </c>
      <c r="C28" s="22" t="s">
        <v>359</v>
      </c>
      <c r="D28" s="23">
        <v>1</v>
      </c>
      <c r="E28" s="24" t="s">
        <v>360</v>
      </c>
      <c r="F28" s="24" t="s">
        <v>361</v>
      </c>
      <c r="G28" s="25">
        <v>15000</v>
      </c>
      <c r="H28" s="35">
        <v>18000</v>
      </c>
      <c r="I28" s="27"/>
      <c r="J28" s="28">
        <f t="shared" si="0"/>
        <v>0</v>
      </c>
      <c r="K28" s="29" t="s">
        <v>26</v>
      </c>
      <c r="L28" s="30">
        <v>3000</v>
      </c>
      <c r="M28" s="30" t="s">
        <v>27</v>
      </c>
      <c r="N28" s="28"/>
      <c r="O28" s="30"/>
      <c r="P28" s="30"/>
      <c r="Q28" s="31"/>
    </row>
    <row r="29" s="1" customFormat="1" ht="19.05" customHeight="1" spans="1:17">
      <c r="A29" s="19">
        <v>24</v>
      </c>
      <c r="B29" s="32" t="s">
        <v>362</v>
      </c>
      <c r="C29" s="32" t="s">
        <v>363</v>
      </c>
      <c r="D29" s="33">
        <v>1</v>
      </c>
      <c r="E29" s="34" t="s">
        <v>364</v>
      </c>
      <c r="F29" s="34" t="s">
        <v>365</v>
      </c>
      <c r="G29" s="25">
        <v>15000</v>
      </c>
      <c r="H29" s="35">
        <v>15190</v>
      </c>
      <c r="I29" s="27"/>
      <c r="J29" s="28">
        <f t="shared" si="0"/>
        <v>0</v>
      </c>
      <c r="K29" s="29" t="s">
        <v>26</v>
      </c>
      <c r="L29" s="30">
        <v>490</v>
      </c>
      <c r="M29" s="30"/>
      <c r="N29" s="28"/>
      <c r="O29" s="30"/>
      <c r="P29" s="30"/>
      <c r="Q29" s="31"/>
    </row>
    <row r="30" s="1" customFormat="1" ht="19.05" customHeight="1" spans="1:17">
      <c r="A30" s="19">
        <v>25</v>
      </c>
      <c r="B30" s="22" t="s">
        <v>366</v>
      </c>
      <c r="C30" s="22" t="s">
        <v>367</v>
      </c>
      <c r="D30" s="23">
        <v>1</v>
      </c>
      <c r="E30" s="24" t="s">
        <v>368</v>
      </c>
      <c r="F30" s="24" t="s">
        <v>366</v>
      </c>
      <c r="G30" s="25">
        <v>15000</v>
      </c>
      <c r="H30" s="35">
        <v>15200</v>
      </c>
      <c r="I30" s="27"/>
      <c r="J30" s="28">
        <f t="shared" si="0"/>
        <v>0</v>
      </c>
      <c r="K30" s="29" t="s">
        <v>26</v>
      </c>
      <c r="L30" s="30">
        <v>160</v>
      </c>
      <c r="M30" s="30"/>
      <c r="N30" s="28"/>
      <c r="O30" s="30"/>
      <c r="P30" s="30"/>
      <c r="Q30" s="31"/>
    </row>
    <row r="31" s="1" customFormat="1" ht="19.05" customHeight="1" spans="1:17">
      <c r="A31" s="19">
        <v>26</v>
      </c>
      <c r="B31" s="32" t="s">
        <v>369</v>
      </c>
      <c r="C31" s="32" t="s">
        <v>370</v>
      </c>
      <c r="D31" s="33">
        <v>1</v>
      </c>
      <c r="E31" s="34" t="s">
        <v>371</v>
      </c>
      <c r="F31" s="34" t="s">
        <v>369</v>
      </c>
      <c r="G31" s="25">
        <v>15000</v>
      </c>
      <c r="H31" s="35">
        <v>15030</v>
      </c>
      <c r="I31" s="27"/>
      <c r="J31" s="28">
        <f t="shared" si="0"/>
        <v>0</v>
      </c>
      <c r="K31" s="29" t="s">
        <v>26</v>
      </c>
      <c r="L31" s="30">
        <v>1280</v>
      </c>
      <c r="M31" s="30"/>
      <c r="N31" s="28"/>
      <c r="O31" s="30"/>
      <c r="P31" s="30"/>
      <c r="Q31" s="31"/>
    </row>
    <row r="32" s="1" customFormat="1" ht="19.05" customHeight="1" spans="1:17">
      <c r="A32" s="19">
        <v>27</v>
      </c>
      <c r="B32" s="22" t="s">
        <v>372</v>
      </c>
      <c r="C32" s="22" t="s">
        <v>373</v>
      </c>
      <c r="D32" s="23">
        <v>1</v>
      </c>
      <c r="E32" s="38" t="s">
        <v>374</v>
      </c>
      <c r="F32" s="24" t="s">
        <v>372</v>
      </c>
      <c r="G32" s="25">
        <v>15000</v>
      </c>
      <c r="H32" s="35">
        <v>15030</v>
      </c>
      <c r="I32" s="27"/>
      <c r="J32" s="28">
        <f t="shared" si="0"/>
        <v>0</v>
      </c>
      <c r="K32" s="29" t="s">
        <v>26</v>
      </c>
      <c r="L32" s="30">
        <v>160</v>
      </c>
      <c r="M32" s="30"/>
      <c r="N32" s="28"/>
      <c r="O32" s="30"/>
      <c r="P32" s="30"/>
      <c r="Q32" s="31"/>
    </row>
    <row r="33" s="1" customFormat="1" ht="19.05" customHeight="1" spans="1:17">
      <c r="A33" s="19">
        <v>28</v>
      </c>
      <c r="B33" s="32" t="s">
        <v>375</v>
      </c>
      <c r="C33" s="32" t="s">
        <v>376</v>
      </c>
      <c r="D33" s="33">
        <v>1</v>
      </c>
      <c r="E33" s="34" t="s">
        <v>43</v>
      </c>
      <c r="F33" s="34" t="s">
        <v>375</v>
      </c>
      <c r="G33" s="25">
        <v>15000</v>
      </c>
      <c r="H33" s="35">
        <v>15100</v>
      </c>
      <c r="I33" s="27"/>
      <c r="J33" s="28">
        <f t="shared" si="0"/>
        <v>0</v>
      </c>
      <c r="K33" s="29" t="s">
        <v>26</v>
      </c>
      <c r="L33" s="30">
        <v>4000</v>
      </c>
      <c r="M33" s="30"/>
      <c r="N33" s="28"/>
      <c r="O33" s="30"/>
      <c r="P33" s="30"/>
      <c r="Q33" s="31"/>
    </row>
    <row r="34" s="1" customFormat="1" ht="19.05" customHeight="1" spans="1:17">
      <c r="A34" s="19">
        <v>29</v>
      </c>
      <c r="B34" s="22" t="s">
        <v>201</v>
      </c>
      <c r="C34" s="22" t="s">
        <v>377</v>
      </c>
      <c r="D34" s="23">
        <v>4</v>
      </c>
      <c r="E34" s="24" t="s">
        <v>105</v>
      </c>
      <c r="F34" s="24" t="s">
        <v>201</v>
      </c>
      <c r="G34" s="25">
        <v>60000</v>
      </c>
      <c r="H34" s="35">
        <v>64000</v>
      </c>
      <c r="I34" s="27"/>
      <c r="J34" s="28">
        <f t="shared" si="0"/>
        <v>0</v>
      </c>
      <c r="K34" s="29" t="s">
        <v>26</v>
      </c>
      <c r="L34" s="30">
        <v>4000</v>
      </c>
      <c r="M34" s="30" t="s">
        <v>27</v>
      </c>
      <c r="N34" s="28"/>
      <c r="O34" s="30"/>
      <c r="P34" s="30"/>
      <c r="Q34" s="31"/>
    </row>
    <row r="35" s="1" customFormat="1" ht="19.05" customHeight="1" spans="1:17">
      <c r="A35" s="19">
        <v>30</v>
      </c>
      <c r="B35" s="32" t="s">
        <v>378</v>
      </c>
      <c r="C35" s="32" t="s">
        <v>379</v>
      </c>
      <c r="D35" s="33">
        <v>2</v>
      </c>
      <c r="E35" s="34" t="s">
        <v>105</v>
      </c>
      <c r="F35" s="34" t="s">
        <v>378</v>
      </c>
      <c r="G35" s="25">
        <v>30000</v>
      </c>
      <c r="H35" s="39">
        <v>32000</v>
      </c>
      <c r="I35" s="27"/>
      <c r="J35" s="28">
        <f t="shared" si="0"/>
        <v>0</v>
      </c>
      <c r="K35" s="29" t="s">
        <v>26</v>
      </c>
      <c r="L35" s="30">
        <v>2000</v>
      </c>
      <c r="M35" s="30" t="s">
        <v>27</v>
      </c>
      <c r="N35" s="28"/>
      <c r="O35" s="30"/>
      <c r="P35" s="30"/>
      <c r="Q35" s="31"/>
    </row>
    <row r="36" s="1" customFormat="1" ht="19.05" customHeight="1" spans="1:17">
      <c r="A36" s="19">
        <v>31</v>
      </c>
      <c r="B36" s="22" t="s">
        <v>380</v>
      </c>
      <c r="C36" s="22" t="s">
        <v>381</v>
      </c>
      <c r="D36" s="23">
        <v>3</v>
      </c>
      <c r="E36" s="24" t="s">
        <v>212</v>
      </c>
      <c r="F36" s="24" t="s">
        <v>380</v>
      </c>
      <c r="G36" s="25">
        <v>45000</v>
      </c>
      <c r="H36" s="26">
        <v>48000</v>
      </c>
      <c r="I36" s="27"/>
      <c r="J36" s="28">
        <f t="shared" si="0"/>
        <v>0</v>
      </c>
      <c r="K36" s="29" t="s">
        <v>26</v>
      </c>
      <c r="L36" s="30">
        <v>3000</v>
      </c>
      <c r="M36" s="30" t="s">
        <v>27</v>
      </c>
      <c r="N36" s="28"/>
      <c r="O36" s="30"/>
      <c r="P36" s="30"/>
      <c r="Q36" s="31"/>
    </row>
    <row r="37" s="1" customFormat="1" ht="19.05" customHeight="1" spans="1:17">
      <c r="A37" s="19">
        <v>32</v>
      </c>
      <c r="B37" s="32" t="s">
        <v>224</v>
      </c>
      <c r="C37" s="32" t="s">
        <v>382</v>
      </c>
      <c r="D37" s="33">
        <v>8</v>
      </c>
      <c r="E37" s="34" t="s">
        <v>24</v>
      </c>
      <c r="F37" s="34" t="s">
        <v>226</v>
      </c>
      <c r="G37" s="25">
        <v>120000</v>
      </c>
      <c r="H37" s="35">
        <v>130000</v>
      </c>
      <c r="I37" s="27"/>
      <c r="J37" s="28">
        <f t="shared" si="0"/>
        <v>0</v>
      </c>
      <c r="K37" s="29" t="s">
        <v>26</v>
      </c>
      <c r="L37" s="30">
        <v>10000</v>
      </c>
      <c r="M37" s="30" t="s">
        <v>27</v>
      </c>
      <c r="N37" s="28"/>
      <c r="O37" s="30"/>
      <c r="P37" s="30"/>
      <c r="Q37" s="31"/>
    </row>
    <row r="38" s="1" customFormat="1" ht="19.05" customHeight="1" spans="1:17">
      <c r="A38" s="19">
        <v>33</v>
      </c>
      <c r="B38" s="22" t="s">
        <v>383</v>
      </c>
      <c r="C38" s="22" t="s">
        <v>384</v>
      </c>
      <c r="D38" s="23">
        <v>1</v>
      </c>
      <c r="E38" s="24" t="s">
        <v>24</v>
      </c>
      <c r="F38" s="24" t="s">
        <v>385</v>
      </c>
      <c r="G38" s="25">
        <v>15000</v>
      </c>
      <c r="H38" s="35">
        <v>20000</v>
      </c>
      <c r="I38" s="27"/>
      <c r="J38" s="28">
        <f t="shared" si="0"/>
        <v>0</v>
      </c>
      <c r="K38" s="29" t="s">
        <v>26</v>
      </c>
      <c r="L38" s="30">
        <v>10000</v>
      </c>
      <c r="M38" s="30" t="s">
        <v>27</v>
      </c>
      <c r="N38" s="28"/>
      <c r="O38" s="30"/>
      <c r="P38" s="30"/>
      <c r="Q38" s="31"/>
    </row>
    <row r="39" s="1" customFormat="1" ht="19.05" customHeight="1" spans="1:17">
      <c r="A39" s="19">
        <v>34</v>
      </c>
      <c r="B39" s="32" t="s">
        <v>386</v>
      </c>
      <c r="C39" s="32" t="s">
        <v>387</v>
      </c>
      <c r="D39" s="33">
        <v>1</v>
      </c>
      <c r="E39" s="34" t="s">
        <v>24</v>
      </c>
      <c r="F39" s="34" t="s">
        <v>388</v>
      </c>
      <c r="G39" s="25">
        <v>15000</v>
      </c>
      <c r="H39" s="40">
        <v>20000</v>
      </c>
      <c r="I39" s="27"/>
      <c r="J39" s="28">
        <f t="shared" si="0"/>
        <v>0</v>
      </c>
      <c r="K39" s="29" t="s">
        <v>26</v>
      </c>
      <c r="L39" s="30">
        <v>10000</v>
      </c>
      <c r="M39" s="30" t="s">
        <v>27</v>
      </c>
      <c r="N39" s="28"/>
      <c r="O39" s="30"/>
      <c r="P39" s="30"/>
      <c r="Q39" s="31"/>
    </row>
    <row r="40" s="1" customFormat="1" ht="19.05" customHeight="1" spans="1:17">
      <c r="A40" s="19">
        <v>35</v>
      </c>
      <c r="B40" s="22" t="s">
        <v>49</v>
      </c>
      <c r="C40" s="22" t="s">
        <v>389</v>
      </c>
      <c r="D40" s="23">
        <v>13</v>
      </c>
      <c r="E40" s="24" t="s">
        <v>24</v>
      </c>
      <c r="F40" s="24" t="s">
        <v>51</v>
      </c>
      <c r="G40" s="25">
        <v>195000</v>
      </c>
      <c r="H40" s="41">
        <v>200000</v>
      </c>
      <c r="I40" s="27"/>
      <c r="J40" s="28">
        <f t="shared" si="0"/>
        <v>0</v>
      </c>
      <c r="K40" s="29" t="s">
        <v>26</v>
      </c>
      <c r="L40" s="30">
        <v>10000</v>
      </c>
      <c r="M40" s="30" t="s">
        <v>27</v>
      </c>
      <c r="N40" s="28"/>
      <c r="O40" s="30"/>
      <c r="P40" s="30"/>
      <c r="Q40" s="31"/>
    </row>
    <row r="41" s="1" customFormat="1" ht="19.05" customHeight="1" spans="1:17">
      <c r="A41" s="19">
        <v>36</v>
      </c>
      <c r="B41" s="32" t="s">
        <v>390</v>
      </c>
      <c r="C41" s="32" t="s">
        <v>391</v>
      </c>
      <c r="D41" s="33">
        <v>9</v>
      </c>
      <c r="E41" s="34" t="s">
        <v>24</v>
      </c>
      <c r="F41" s="34" t="s">
        <v>392</v>
      </c>
      <c r="G41" s="25">
        <v>135000</v>
      </c>
      <c r="H41" s="41">
        <v>140000</v>
      </c>
      <c r="I41" s="27"/>
      <c r="J41" s="28">
        <f t="shared" si="0"/>
        <v>0</v>
      </c>
      <c r="K41" s="29" t="s">
        <v>26</v>
      </c>
      <c r="L41" s="30">
        <v>10000</v>
      </c>
      <c r="M41" s="30" t="s">
        <v>27</v>
      </c>
      <c r="N41" s="28"/>
      <c r="O41" s="30"/>
      <c r="P41" s="30"/>
      <c r="Q41" s="31"/>
    </row>
    <row r="42" s="1" customFormat="1" ht="19.05" customHeight="1" spans="1:17">
      <c r="A42" s="19">
        <v>37</v>
      </c>
      <c r="B42" s="22" t="s">
        <v>241</v>
      </c>
      <c r="C42" s="22" t="s">
        <v>393</v>
      </c>
      <c r="D42" s="23">
        <v>4</v>
      </c>
      <c r="E42" s="24" t="s">
        <v>24</v>
      </c>
      <c r="F42" s="24" t="s">
        <v>244</v>
      </c>
      <c r="G42" s="25">
        <v>60000</v>
      </c>
      <c r="H42" s="41">
        <v>70000</v>
      </c>
      <c r="I42" s="27"/>
      <c r="J42" s="28">
        <f t="shared" si="0"/>
        <v>0</v>
      </c>
      <c r="K42" s="29" t="s">
        <v>26</v>
      </c>
      <c r="L42" s="30">
        <v>10000</v>
      </c>
      <c r="M42" s="30" t="s">
        <v>27</v>
      </c>
      <c r="N42" s="28"/>
      <c r="O42" s="30"/>
      <c r="P42" s="30"/>
      <c r="Q42" s="31"/>
    </row>
    <row r="43" s="1" customFormat="1" ht="19.05" customHeight="1" spans="1:17">
      <c r="A43" s="19">
        <v>38</v>
      </c>
      <c r="B43" s="32" t="s">
        <v>233</v>
      </c>
      <c r="C43" s="32" t="s">
        <v>394</v>
      </c>
      <c r="D43" s="33">
        <v>6</v>
      </c>
      <c r="E43" s="34" t="s">
        <v>24</v>
      </c>
      <c r="F43" s="34" t="s">
        <v>235</v>
      </c>
      <c r="G43" s="25">
        <v>90000</v>
      </c>
      <c r="H43" s="40">
        <v>100000</v>
      </c>
      <c r="I43" s="27"/>
      <c r="J43" s="28">
        <f t="shared" si="0"/>
        <v>0</v>
      </c>
      <c r="K43" s="29" t="s">
        <v>26</v>
      </c>
      <c r="L43" s="30">
        <v>10000</v>
      </c>
      <c r="M43" s="30" t="s">
        <v>27</v>
      </c>
      <c r="N43" s="28"/>
      <c r="O43" s="30"/>
      <c r="P43" s="30"/>
      <c r="Q43" s="31"/>
    </row>
    <row r="44" s="1" customFormat="1" ht="19.05" customHeight="1" spans="1:17">
      <c r="A44" s="19">
        <v>39</v>
      </c>
      <c r="B44" s="22" t="s">
        <v>46</v>
      </c>
      <c r="C44" s="22" t="s">
        <v>395</v>
      </c>
      <c r="D44" s="23">
        <v>2</v>
      </c>
      <c r="E44" s="24" t="s">
        <v>24</v>
      </c>
      <c r="F44" s="24" t="s">
        <v>48</v>
      </c>
      <c r="G44" s="25">
        <v>30000</v>
      </c>
      <c r="H44" s="41">
        <v>40000</v>
      </c>
      <c r="I44" s="27"/>
      <c r="J44" s="28">
        <f t="shared" si="0"/>
        <v>0</v>
      </c>
      <c r="K44" s="29" t="s">
        <v>26</v>
      </c>
      <c r="L44" s="30">
        <v>10000</v>
      </c>
      <c r="M44" s="30" t="s">
        <v>27</v>
      </c>
      <c r="N44" s="28"/>
      <c r="O44" s="30"/>
      <c r="P44" s="30"/>
      <c r="Q44" s="31"/>
    </row>
    <row r="45" s="1" customFormat="1" ht="19.05" customHeight="1" spans="1:17">
      <c r="A45" s="19">
        <v>40</v>
      </c>
      <c r="B45" s="32" t="s">
        <v>396</v>
      </c>
      <c r="C45" s="32" t="s">
        <v>397</v>
      </c>
      <c r="D45" s="33">
        <v>3</v>
      </c>
      <c r="E45" s="34" t="s">
        <v>24</v>
      </c>
      <c r="F45" s="34" t="s">
        <v>398</v>
      </c>
      <c r="G45" s="25">
        <v>45000</v>
      </c>
      <c r="H45" s="41">
        <v>50000</v>
      </c>
      <c r="I45" s="27"/>
      <c r="J45" s="28">
        <f t="shared" si="0"/>
        <v>0</v>
      </c>
      <c r="K45" s="29" t="s">
        <v>26</v>
      </c>
      <c r="L45" s="30">
        <v>10000</v>
      </c>
      <c r="M45" s="30" t="s">
        <v>27</v>
      </c>
      <c r="N45" s="28"/>
      <c r="O45" s="30"/>
      <c r="P45" s="30"/>
      <c r="Q45" s="31"/>
    </row>
    <row r="46" s="1" customFormat="1" ht="19.05" customHeight="1" spans="1:17">
      <c r="A46" s="19">
        <v>41</v>
      </c>
      <c r="B46" s="22" t="s">
        <v>399</v>
      </c>
      <c r="C46" s="22" t="s">
        <v>400</v>
      </c>
      <c r="D46" s="23">
        <v>1</v>
      </c>
      <c r="E46" s="24" t="s">
        <v>24</v>
      </c>
      <c r="F46" s="24" t="s">
        <v>401</v>
      </c>
      <c r="G46" s="25">
        <v>15000</v>
      </c>
      <c r="H46" s="41">
        <v>20000</v>
      </c>
      <c r="I46" s="27"/>
      <c r="J46" s="28">
        <f t="shared" si="0"/>
        <v>0</v>
      </c>
      <c r="K46" s="29" t="s">
        <v>26</v>
      </c>
      <c r="L46" s="30">
        <v>10000</v>
      </c>
      <c r="M46" s="30" t="s">
        <v>27</v>
      </c>
      <c r="N46" s="28"/>
      <c r="O46" s="30"/>
      <c r="P46" s="30"/>
      <c r="Q46" s="31"/>
    </row>
    <row r="47" s="1" customFormat="1" ht="19.05" customHeight="1" spans="1:17">
      <c r="A47" s="19">
        <v>42</v>
      </c>
      <c r="B47" s="32" t="s">
        <v>402</v>
      </c>
      <c r="C47" s="32" t="s">
        <v>403</v>
      </c>
      <c r="D47" s="33">
        <v>1</v>
      </c>
      <c r="E47" s="34" t="s">
        <v>24</v>
      </c>
      <c r="F47" s="34" t="s">
        <v>404</v>
      </c>
      <c r="G47" s="25">
        <v>15000</v>
      </c>
      <c r="H47" s="41">
        <v>20000</v>
      </c>
      <c r="I47" s="27"/>
      <c r="J47" s="28">
        <f t="shared" si="0"/>
        <v>0</v>
      </c>
      <c r="K47" s="29" t="s">
        <v>26</v>
      </c>
      <c r="L47" s="30">
        <v>10000</v>
      </c>
      <c r="M47" s="30" t="s">
        <v>27</v>
      </c>
      <c r="N47" s="28"/>
      <c r="O47" s="30"/>
      <c r="P47" s="30"/>
      <c r="Q47" s="31"/>
    </row>
    <row r="48" s="1" customFormat="1" ht="19.05" customHeight="1" spans="1:17">
      <c r="A48" s="19">
        <v>43</v>
      </c>
      <c r="B48" s="22" t="s">
        <v>405</v>
      </c>
      <c r="C48" s="22" t="s">
        <v>406</v>
      </c>
      <c r="D48" s="23">
        <v>1</v>
      </c>
      <c r="E48" s="24" t="s">
        <v>24</v>
      </c>
      <c r="F48" s="42" t="s">
        <v>407</v>
      </c>
      <c r="G48" s="25">
        <v>15000</v>
      </c>
      <c r="H48" s="41">
        <v>20000</v>
      </c>
      <c r="I48" s="27"/>
      <c r="J48" s="28">
        <f t="shared" si="0"/>
        <v>0</v>
      </c>
      <c r="K48" s="29" t="s">
        <v>26</v>
      </c>
      <c r="L48" s="30">
        <v>10000</v>
      </c>
      <c r="M48" s="30" t="s">
        <v>27</v>
      </c>
      <c r="N48" s="28"/>
      <c r="O48" s="30"/>
      <c r="P48" s="30"/>
      <c r="Q48" s="31"/>
    </row>
    <row r="49" s="1" customFormat="1" ht="19.05" customHeight="1" spans="1:17">
      <c r="A49" s="19">
        <v>44</v>
      </c>
      <c r="B49" s="32" t="s">
        <v>383</v>
      </c>
      <c r="C49" s="32" t="s">
        <v>408</v>
      </c>
      <c r="D49" s="33">
        <v>5</v>
      </c>
      <c r="E49" s="34" t="s">
        <v>24</v>
      </c>
      <c r="F49" s="34" t="s">
        <v>385</v>
      </c>
      <c r="G49" s="25">
        <v>75000</v>
      </c>
      <c r="H49" s="41">
        <v>80000</v>
      </c>
      <c r="I49" s="27"/>
      <c r="J49" s="28">
        <f t="shared" si="0"/>
        <v>0</v>
      </c>
      <c r="K49" s="29" t="s">
        <v>26</v>
      </c>
      <c r="L49" s="30">
        <v>10000</v>
      </c>
      <c r="M49" s="30" t="s">
        <v>27</v>
      </c>
      <c r="N49" s="28"/>
      <c r="O49" s="30"/>
      <c r="P49" s="30"/>
      <c r="Q49" s="31"/>
    </row>
    <row r="50" s="1" customFormat="1" ht="19.05" customHeight="1" spans="1:17">
      <c r="A50" s="19">
        <v>45</v>
      </c>
      <c r="B50" s="22" t="s">
        <v>409</v>
      </c>
      <c r="C50" s="22" t="s">
        <v>410</v>
      </c>
      <c r="D50" s="23">
        <v>2</v>
      </c>
      <c r="E50" s="24" t="s">
        <v>24</v>
      </c>
      <c r="F50" s="24" t="s">
        <v>411</v>
      </c>
      <c r="G50" s="25">
        <v>30000</v>
      </c>
      <c r="H50" s="41">
        <v>40000</v>
      </c>
      <c r="I50" s="27"/>
      <c r="J50" s="28">
        <f t="shared" si="0"/>
        <v>0</v>
      </c>
      <c r="K50" s="29" t="s">
        <v>26</v>
      </c>
      <c r="L50" s="30">
        <v>10000</v>
      </c>
      <c r="M50" s="30" t="s">
        <v>27</v>
      </c>
      <c r="N50" s="28"/>
      <c r="O50" s="30"/>
      <c r="P50" s="30"/>
      <c r="Q50" s="31"/>
    </row>
    <row r="51" s="1" customFormat="1" ht="19.05" customHeight="1" spans="1:17">
      <c r="A51" s="19">
        <v>46</v>
      </c>
      <c r="B51" s="32" t="s">
        <v>412</v>
      </c>
      <c r="C51" s="32" t="s">
        <v>413</v>
      </c>
      <c r="D51" s="33">
        <v>3</v>
      </c>
      <c r="E51" s="34" t="s">
        <v>24</v>
      </c>
      <c r="F51" s="43" t="s">
        <v>414</v>
      </c>
      <c r="G51" s="25">
        <v>45000</v>
      </c>
      <c r="H51" s="40">
        <v>50000</v>
      </c>
      <c r="I51" s="27"/>
      <c r="J51" s="28">
        <f t="shared" si="0"/>
        <v>0</v>
      </c>
      <c r="K51" s="29" t="s">
        <v>26</v>
      </c>
      <c r="L51" s="30">
        <v>10000</v>
      </c>
      <c r="M51" s="30" t="s">
        <v>27</v>
      </c>
      <c r="N51" s="28"/>
      <c r="O51" s="30"/>
      <c r="P51" s="30"/>
      <c r="Q51" s="31"/>
    </row>
    <row r="52" s="1" customFormat="1" ht="19.05" customHeight="1" spans="1:17">
      <c r="A52" s="19">
        <v>47</v>
      </c>
      <c r="B52" s="22" t="s">
        <v>415</v>
      </c>
      <c r="C52" s="22" t="s">
        <v>416</v>
      </c>
      <c r="D52" s="23">
        <v>2</v>
      </c>
      <c r="E52" s="24" t="s">
        <v>24</v>
      </c>
      <c r="F52" s="24" t="s">
        <v>417</v>
      </c>
      <c r="G52" s="25">
        <v>30000</v>
      </c>
      <c r="H52" s="41">
        <v>40000</v>
      </c>
      <c r="I52" s="27"/>
      <c r="J52" s="28">
        <f t="shared" si="0"/>
        <v>0</v>
      </c>
      <c r="K52" s="29" t="s">
        <v>26</v>
      </c>
      <c r="L52" s="30">
        <v>10000</v>
      </c>
      <c r="M52" s="30" t="s">
        <v>27</v>
      </c>
      <c r="N52" s="28"/>
      <c r="O52" s="30"/>
      <c r="P52" s="30"/>
      <c r="Q52" s="31"/>
    </row>
    <row r="53" s="1" customFormat="1" ht="19.05" customHeight="1" spans="1:17">
      <c r="A53" s="19">
        <v>48</v>
      </c>
      <c r="B53" s="32" t="s">
        <v>418</v>
      </c>
      <c r="C53" s="32" t="s">
        <v>419</v>
      </c>
      <c r="D53" s="33">
        <v>2</v>
      </c>
      <c r="E53" s="34" t="s">
        <v>24</v>
      </c>
      <c r="F53" s="34" t="s">
        <v>417</v>
      </c>
      <c r="G53" s="25">
        <v>30000</v>
      </c>
      <c r="H53" s="41">
        <v>40000</v>
      </c>
      <c r="I53" s="27"/>
      <c r="J53" s="28">
        <f t="shared" si="0"/>
        <v>0</v>
      </c>
      <c r="K53" s="29" t="s">
        <v>26</v>
      </c>
      <c r="L53" s="30">
        <v>10000</v>
      </c>
      <c r="M53" s="30" t="s">
        <v>27</v>
      </c>
      <c r="N53" s="28"/>
      <c r="O53" s="30"/>
      <c r="P53" s="30"/>
      <c r="Q53" s="31"/>
    </row>
    <row r="54" s="1" customFormat="1" ht="19.05" customHeight="1" spans="1:17">
      <c r="A54" s="19">
        <v>49</v>
      </c>
      <c r="B54" s="22" t="s">
        <v>420</v>
      </c>
      <c r="C54" s="22" t="s">
        <v>421</v>
      </c>
      <c r="D54" s="23">
        <v>1</v>
      </c>
      <c r="E54" s="24" t="s">
        <v>24</v>
      </c>
      <c r="F54" s="24" t="s">
        <v>422</v>
      </c>
      <c r="G54" s="25">
        <v>15000</v>
      </c>
      <c r="H54" s="41">
        <v>20000</v>
      </c>
      <c r="I54" s="27"/>
      <c r="J54" s="28">
        <f t="shared" si="0"/>
        <v>0</v>
      </c>
      <c r="K54" s="29" t="s">
        <v>26</v>
      </c>
      <c r="L54" s="30">
        <v>10000</v>
      </c>
      <c r="M54" s="30" t="s">
        <v>27</v>
      </c>
      <c r="N54" s="28"/>
      <c r="O54" s="30"/>
      <c r="P54" s="30"/>
      <c r="Q54" s="31"/>
    </row>
    <row r="55" s="1" customFormat="1" ht="19.05" customHeight="1" spans="1:17">
      <c r="A55" s="19">
        <v>50</v>
      </c>
      <c r="B55" s="32" t="s">
        <v>423</v>
      </c>
      <c r="C55" s="32" t="s">
        <v>424</v>
      </c>
      <c r="D55" s="33">
        <v>1</v>
      </c>
      <c r="E55" s="34" t="s">
        <v>24</v>
      </c>
      <c r="F55" s="34" t="s">
        <v>425</v>
      </c>
      <c r="G55" s="25">
        <v>15000</v>
      </c>
      <c r="H55" s="41">
        <v>20000</v>
      </c>
      <c r="I55" s="27"/>
      <c r="J55" s="28">
        <f t="shared" si="0"/>
        <v>0</v>
      </c>
      <c r="K55" s="29" t="s">
        <v>26</v>
      </c>
      <c r="L55" s="30">
        <v>10000</v>
      </c>
      <c r="M55" s="30" t="s">
        <v>27</v>
      </c>
      <c r="N55" s="28"/>
      <c r="O55" s="30"/>
      <c r="P55" s="30"/>
      <c r="Q55" s="31"/>
    </row>
    <row r="56" s="1" customFormat="1" ht="19.05" customHeight="1" spans="1:17">
      <c r="A56" s="19">
        <v>51</v>
      </c>
      <c r="B56" s="22" t="s">
        <v>426</v>
      </c>
      <c r="C56" s="22" t="s">
        <v>427</v>
      </c>
      <c r="D56" s="23">
        <v>1</v>
      </c>
      <c r="E56" s="24" t="s">
        <v>24</v>
      </c>
      <c r="F56" s="24" t="s">
        <v>428</v>
      </c>
      <c r="G56" s="25">
        <v>15000</v>
      </c>
      <c r="H56" s="41">
        <v>20000</v>
      </c>
      <c r="I56" s="27"/>
      <c r="J56" s="28">
        <f t="shared" si="0"/>
        <v>0</v>
      </c>
      <c r="K56" s="29" t="s">
        <v>26</v>
      </c>
      <c r="L56" s="30">
        <v>10000</v>
      </c>
      <c r="M56" s="30" t="s">
        <v>27</v>
      </c>
      <c r="N56" s="28"/>
      <c r="O56" s="30"/>
      <c r="P56" s="30"/>
      <c r="Q56" s="31"/>
    </row>
    <row r="57" s="1" customFormat="1" ht="19.05" customHeight="1" spans="1:17">
      <c r="A57" s="19">
        <v>52</v>
      </c>
      <c r="B57" s="32" t="s">
        <v>429</v>
      </c>
      <c r="C57" s="32" t="s">
        <v>430</v>
      </c>
      <c r="D57" s="33">
        <v>1</v>
      </c>
      <c r="E57" s="34" t="s">
        <v>24</v>
      </c>
      <c r="F57" s="34" t="s">
        <v>388</v>
      </c>
      <c r="G57" s="25">
        <v>15000</v>
      </c>
      <c r="H57" s="41">
        <v>20000</v>
      </c>
      <c r="I57" s="27"/>
      <c r="J57" s="28">
        <f t="shared" si="0"/>
        <v>0</v>
      </c>
      <c r="K57" s="29" t="s">
        <v>26</v>
      </c>
      <c r="L57" s="30">
        <v>10000</v>
      </c>
      <c r="M57" s="30" t="s">
        <v>27</v>
      </c>
      <c r="N57" s="28"/>
      <c r="O57" s="30"/>
      <c r="P57" s="30"/>
      <c r="Q57" s="31"/>
    </row>
    <row r="58" s="1" customFormat="1" ht="19.05" customHeight="1" spans="1:17">
      <c r="A58" s="19">
        <v>53</v>
      </c>
      <c r="B58" s="22" t="s">
        <v>431</v>
      </c>
      <c r="C58" s="22" t="s">
        <v>432</v>
      </c>
      <c r="D58" s="23">
        <v>2</v>
      </c>
      <c r="E58" s="24" t="s">
        <v>24</v>
      </c>
      <c r="F58" s="24" t="s">
        <v>433</v>
      </c>
      <c r="G58" s="25">
        <v>30000</v>
      </c>
      <c r="H58" s="40">
        <v>40000</v>
      </c>
      <c r="I58" s="27"/>
      <c r="J58" s="28">
        <f t="shared" si="0"/>
        <v>0</v>
      </c>
      <c r="K58" s="29" t="s">
        <v>26</v>
      </c>
      <c r="L58" s="30">
        <v>10000</v>
      </c>
      <c r="M58" s="30" t="s">
        <v>27</v>
      </c>
      <c r="N58" s="28"/>
      <c r="O58" s="30"/>
      <c r="P58" s="30"/>
      <c r="Q58" s="31"/>
    </row>
    <row r="59" s="1" customFormat="1" ht="19.05" customHeight="1" spans="1:17">
      <c r="A59" s="19">
        <v>54</v>
      </c>
      <c r="B59" s="32" t="s">
        <v>434</v>
      </c>
      <c r="C59" s="32" t="s">
        <v>435</v>
      </c>
      <c r="D59" s="33">
        <v>1</v>
      </c>
      <c r="E59" s="34" t="s">
        <v>24</v>
      </c>
      <c r="F59" s="34" t="s">
        <v>275</v>
      </c>
      <c r="G59" s="25">
        <v>15000</v>
      </c>
      <c r="H59" s="35">
        <v>20000</v>
      </c>
      <c r="I59" s="27"/>
      <c r="J59" s="28">
        <f t="shared" si="0"/>
        <v>0</v>
      </c>
      <c r="K59" s="29" t="s">
        <v>26</v>
      </c>
      <c r="L59" s="30">
        <v>10000</v>
      </c>
      <c r="M59" s="30" t="s">
        <v>27</v>
      </c>
      <c r="N59" s="28"/>
      <c r="O59" s="30"/>
      <c r="P59" s="30"/>
      <c r="Q59" s="31"/>
    </row>
    <row r="60" s="1" customFormat="1" ht="19.05" customHeight="1" spans="1:17">
      <c r="A60" s="19">
        <v>55</v>
      </c>
      <c r="B60" s="22" t="s">
        <v>436</v>
      </c>
      <c r="C60" s="22" t="s">
        <v>437</v>
      </c>
      <c r="D60" s="23">
        <v>1</v>
      </c>
      <c r="E60" s="24" t="s">
        <v>24</v>
      </c>
      <c r="F60" s="24" t="s">
        <v>438</v>
      </c>
      <c r="G60" s="25">
        <v>15000</v>
      </c>
      <c r="H60" s="35">
        <v>20000</v>
      </c>
      <c r="I60" s="27"/>
      <c r="J60" s="28">
        <f t="shared" si="0"/>
        <v>0</v>
      </c>
      <c r="K60" s="29" t="s">
        <v>26</v>
      </c>
      <c r="L60" s="30">
        <v>10000</v>
      </c>
      <c r="M60" s="30" t="s">
        <v>27</v>
      </c>
      <c r="N60" s="28"/>
      <c r="O60" s="30"/>
      <c r="P60" s="30"/>
      <c r="Q60" s="31"/>
    </row>
    <row r="61" s="1" customFormat="1" ht="19.05" customHeight="1" spans="1:17">
      <c r="A61" s="19">
        <v>56</v>
      </c>
      <c r="B61" s="32" t="s">
        <v>176</v>
      </c>
      <c r="C61" s="32" t="s">
        <v>439</v>
      </c>
      <c r="D61" s="33">
        <v>9</v>
      </c>
      <c r="E61" s="34" t="s">
        <v>440</v>
      </c>
      <c r="F61" s="34" t="s">
        <v>176</v>
      </c>
      <c r="G61" s="25">
        <v>135000</v>
      </c>
      <c r="H61" s="35">
        <v>136000</v>
      </c>
      <c r="I61" s="27"/>
      <c r="J61" s="28">
        <f t="shared" si="0"/>
        <v>0</v>
      </c>
      <c r="K61" s="29" t="s">
        <v>26</v>
      </c>
      <c r="L61" s="30">
        <v>8000</v>
      </c>
      <c r="M61" s="30" t="s">
        <v>27</v>
      </c>
      <c r="N61" s="28" t="s">
        <v>441</v>
      </c>
      <c r="O61" s="30" t="s">
        <v>442</v>
      </c>
      <c r="P61" s="30"/>
      <c r="Q61" s="31"/>
    </row>
    <row r="62" s="1" customFormat="1" ht="19.05" customHeight="1" spans="1:17">
      <c r="A62" s="19">
        <v>57</v>
      </c>
      <c r="B62" s="22" t="s">
        <v>291</v>
      </c>
      <c r="C62" s="22" t="s">
        <v>443</v>
      </c>
      <c r="D62" s="23">
        <v>6</v>
      </c>
      <c r="E62" s="24" t="s">
        <v>293</v>
      </c>
      <c r="F62" s="24" t="s">
        <v>291</v>
      </c>
      <c r="G62" s="25">
        <v>90000</v>
      </c>
      <c r="H62" s="35">
        <v>93000</v>
      </c>
      <c r="I62" s="27"/>
      <c r="J62" s="28">
        <f t="shared" si="0"/>
        <v>0</v>
      </c>
      <c r="K62" s="29" t="s">
        <v>26</v>
      </c>
      <c r="L62" s="30">
        <v>3000</v>
      </c>
      <c r="M62" s="30" t="s">
        <v>27</v>
      </c>
      <c r="N62" s="28"/>
      <c r="O62" s="30"/>
      <c r="P62" s="30"/>
      <c r="Q62" s="31"/>
    </row>
    <row r="63" s="1" customFormat="1" ht="19.05" customHeight="1" spans="1:17">
      <c r="A63" s="19">
        <v>58</v>
      </c>
      <c r="B63" s="32" t="s">
        <v>444</v>
      </c>
      <c r="C63" s="32" t="s">
        <v>445</v>
      </c>
      <c r="D63" s="33">
        <v>1</v>
      </c>
      <c r="E63" s="34" t="s">
        <v>446</v>
      </c>
      <c r="F63" s="34" t="s">
        <v>444</v>
      </c>
      <c r="G63" s="25">
        <v>15000</v>
      </c>
      <c r="H63" s="35">
        <v>18000</v>
      </c>
      <c r="I63" s="27"/>
      <c r="J63" s="28">
        <f t="shared" si="0"/>
        <v>0</v>
      </c>
      <c r="K63" s="29" t="s">
        <v>26</v>
      </c>
      <c r="L63" s="30">
        <v>3000</v>
      </c>
      <c r="M63" s="30" t="s">
        <v>27</v>
      </c>
      <c r="N63" s="28"/>
      <c r="O63" s="30"/>
      <c r="P63" s="30"/>
      <c r="Q63" s="31"/>
    </row>
    <row r="64" s="1" customFormat="1" ht="19.05" customHeight="1" spans="1:17">
      <c r="A64" s="19">
        <v>59</v>
      </c>
      <c r="B64" s="22" t="s">
        <v>447</v>
      </c>
      <c r="C64" s="22" t="s">
        <v>448</v>
      </c>
      <c r="D64" s="23">
        <v>1</v>
      </c>
      <c r="E64" s="24" t="s">
        <v>449</v>
      </c>
      <c r="F64" s="24" t="s">
        <v>447</v>
      </c>
      <c r="G64" s="25">
        <v>15000</v>
      </c>
      <c r="H64" s="35">
        <v>15200</v>
      </c>
      <c r="I64" s="27"/>
      <c r="J64" s="28">
        <f t="shared" si="0"/>
        <v>0</v>
      </c>
      <c r="K64" s="29" t="s">
        <v>26</v>
      </c>
      <c r="L64" s="30">
        <v>2000</v>
      </c>
      <c r="M64" s="30"/>
      <c r="N64" s="28"/>
      <c r="O64" s="30"/>
      <c r="P64" s="30"/>
      <c r="Q64" s="31"/>
    </row>
    <row r="65" s="1" customFormat="1" ht="19.05" customHeight="1" spans="1:17">
      <c r="A65" s="19">
        <v>60</v>
      </c>
      <c r="B65" s="32" t="s">
        <v>450</v>
      </c>
      <c r="C65" s="32" t="s">
        <v>451</v>
      </c>
      <c r="D65" s="33">
        <v>1</v>
      </c>
      <c r="E65" s="34" t="s">
        <v>153</v>
      </c>
      <c r="F65" s="34" t="s">
        <v>450</v>
      </c>
      <c r="G65" s="25">
        <v>15000</v>
      </c>
      <c r="H65" s="35">
        <v>15200</v>
      </c>
      <c r="I65" s="27"/>
      <c r="J65" s="28">
        <f t="shared" si="0"/>
        <v>0</v>
      </c>
      <c r="K65" s="29" t="s">
        <v>26</v>
      </c>
      <c r="L65" s="30">
        <v>3000</v>
      </c>
      <c r="M65" s="30"/>
      <c r="N65" s="28"/>
      <c r="O65" s="30"/>
      <c r="P65" s="30"/>
      <c r="Q65" s="31"/>
    </row>
    <row r="66" s="1" customFormat="1" ht="19.05" customHeight="1" spans="1:17">
      <c r="A66" s="19">
        <v>61</v>
      </c>
      <c r="B66" s="22" t="s">
        <v>452</v>
      </c>
      <c r="C66" s="22" t="s">
        <v>453</v>
      </c>
      <c r="D66" s="23">
        <v>2</v>
      </c>
      <c r="E66" s="22" t="s">
        <v>454</v>
      </c>
      <c r="F66" s="24" t="s">
        <v>455</v>
      </c>
      <c r="G66" s="25">
        <v>30000</v>
      </c>
      <c r="H66" s="35">
        <v>30100</v>
      </c>
      <c r="I66" s="27"/>
      <c r="J66" s="28">
        <f t="shared" si="0"/>
        <v>0</v>
      </c>
      <c r="K66" s="29" t="s">
        <v>26</v>
      </c>
      <c r="L66" s="30">
        <v>2000</v>
      </c>
      <c r="M66" s="44" t="s">
        <v>163</v>
      </c>
      <c r="N66" s="28"/>
      <c r="O66" s="30"/>
      <c r="P66" s="30"/>
      <c r="Q66" s="31"/>
    </row>
    <row r="67" s="1" customFormat="1" ht="19.05" customHeight="1" spans="1:17">
      <c r="A67" s="19">
        <v>62</v>
      </c>
      <c r="B67" s="32" t="s">
        <v>456</v>
      </c>
      <c r="C67" s="32" t="s">
        <v>457</v>
      </c>
      <c r="D67" s="33">
        <v>1</v>
      </c>
      <c r="E67" s="34" t="s">
        <v>153</v>
      </c>
      <c r="F67" s="34" t="s">
        <v>458</v>
      </c>
      <c r="G67" s="25">
        <v>15000</v>
      </c>
      <c r="H67" s="35">
        <v>15200</v>
      </c>
      <c r="I67" s="27"/>
      <c r="J67" s="28">
        <f t="shared" si="0"/>
        <v>0</v>
      </c>
      <c r="K67" s="29" t="s">
        <v>26</v>
      </c>
      <c r="L67" s="30">
        <v>3000</v>
      </c>
      <c r="M67" s="45"/>
      <c r="N67" s="28"/>
      <c r="O67" s="30"/>
      <c r="P67" s="30"/>
      <c r="Q67" s="31"/>
    </row>
    <row r="68" s="1" customFormat="1" ht="19.05" customHeight="1" spans="1:17">
      <c r="A68" s="19">
        <v>63</v>
      </c>
      <c r="B68" s="22" t="s">
        <v>459</v>
      </c>
      <c r="C68" s="22" t="s">
        <v>460</v>
      </c>
      <c r="D68" s="23">
        <v>1</v>
      </c>
      <c r="E68" s="24" t="s">
        <v>461</v>
      </c>
      <c r="F68" s="24" t="s">
        <v>459</v>
      </c>
      <c r="G68" s="25">
        <v>15000</v>
      </c>
      <c r="H68" s="35">
        <v>15500</v>
      </c>
      <c r="I68" s="27"/>
      <c r="J68" s="28">
        <f t="shared" si="0"/>
        <v>0</v>
      </c>
      <c r="K68" s="29" t="s">
        <v>26</v>
      </c>
      <c r="L68" s="30">
        <v>15000</v>
      </c>
      <c r="M68" s="45"/>
      <c r="N68" s="28"/>
      <c r="O68" s="30"/>
      <c r="P68" s="30"/>
      <c r="Q68" s="31"/>
    </row>
    <row r="69" s="1" customFormat="1" ht="19.05" customHeight="1" spans="1:17">
      <c r="A69" s="19">
        <v>64</v>
      </c>
      <c r="B69" s="46"/>
      <c r="C69" s="46"/>
      <c r="D69" s="47"/>
      <c r="E69" s="48"/>
      <c r="F69" s="48"/>
      <c r="G69" s="35"/>
      <c r="H69" s="35"/>
      <c r="I69" s="49"/>
      <c r="J69" s="28"/>
      <c r="K69" s="29"/>
      <c r="L69" s="30"/>
      <c r="M69" s="45"/>
      <c r="N69" s="28"/>
      <c r="O69" s="30"/>
      <c r="P69" s="30"/>
      <c r="Q69" s="31"/>
    </row>
    <row r="70" s="1" customFormat="1" ht="19.05" customHeight="1" spans="1:17">
      <c r="A70" s="19">
        <v>65</v>
      </c>
      <c r="B70" s="46"/>
      <c r="C70" s="46"/>
      <c r="D70" s="47"/>
      <c r="E70" s="48"/>
      <c r="F70" s="48"/>
      <c r="G70" s="35"/>
      <c r="H70" s="35"/>
      <c r="I70" s="49"/>
      <c r="J70" s="28"/>
      <c r="K70" s="29"/>
      <c r="L70" s="30"/>
      <c r="M70" s="45"/>
      <c r="N70" s="28"/>
      <c r="O70" s="30"/>
      <c r="P70" s="30"/>
      <c r="Q70" s="31"/>
    </row>
    <row r="71" s="1" customFormat="1" ht="19.05" customHeight="1" spans="1:17">
      <c r="A71" s="19">
        <v>66</v>
      </c>
      <c r="B71" s="48"/>
      <c r="C71" s="46"/>
      <c r="D71" s="47"/>
      <c r="E71" s="48"/>
      <c r="F71" s="48"/>
      <c r="G71" s="35"/>
      <c r="H71" s="35"/>
      <c r="I71" s="49"/>
      <c r="J71" s="28"/>
      <c r="K71" s="29"/>
      <c r="L71" s="30"/>
      <c r="M71" s="44"/>
      <c r="N71" s="28"/>
      <c r="O71" s="30"/>
      <c r="P71" s="30"/>
      <c r="Q71" s="31"/>
    </row>
    <row r="72" s="1" customFormat="1" ht="19.05" customHeight="1" spans="1:17">
      <c r="A72" s="19">
        <v>67</v>
      </c>
      <c r="B72" s="50"/>
      <c r="C72" s="51"/>
      <c r="D72" s="52"/>
      <c r="E72" s="50"/>
      <c r="F72" s="50"/>
      <c r="G72" s="35"/>
      <c r="H72" s="35"/>
      <c r="I72" s="49"/>
      <c r="J72" s="28"/>
      <c r="K72" s="29"/>
      <c r="L72" s="30"/>
      <c r="M72" s="30"/>
      <c r="N72" s="28"/>
      <c r="O72" s="30"/>
      <c r="P72" s="30"/>
      <c r="Q72" s="31"/>
    </row>
    <row r="73" s="1" customFormat="1" ht="19.05" customHeight="1" spans="1:17">
      <c r="A73" s="19">
        <v>68</v>
      </c>
      <c r="B73" s="53"/>
      <c r="C73" s="53"/>
      <c r="D73" s="54"/>
      <c r="E73" s="55"/>
      <c r="F73" s="55"/>
      <c r="G73" s="35"/>
      <c r="H73" s="35"/>
      <c r="I73" s="49"/>
      <c r="J73" s="28"/>
      <c r="K73" s="29"/>
      <c r="L73" s="30"/>
      <c r="M73" s="30"/>
      <c r="N73" s="28"/>
      <c r="O73" s="30"/>
      <c r="P73" s="30"/>
      <c r="Q73" s="31"/>
    </row>
    <row r="74" s="1" customFormat="1" ht="19.05" customHeight="1" spans="1:17">
      <c r="A74" s="56" t="s">
        <v>59</v>
      </c>
      <c r="B74" s="57"/>
      <c r="C74" s="57"/>
      <c r="D74" s="57"/>
      <c r="E74" s="57"/>
      <c r="F74" s="57"/>
      <c r="G74" s="58"/>
      <c r="H74" s="30"/>
      <c r="I74" s="28"/>
      <c r="J74" s="28">
        <f>SUM(J6:J73)</f>
        <v>0</v>
      </c>
      <c r="K74" s="29"/>
      <c r="L74" s="30"/>
      <c r="M74" s="30"/>
      <c r="N74" s="28"/>
      <c r="O74" s="30"/>
      <c r="P74" s="30"/>
      <c r="Q74" s="30"/>
    </row>
    <row r="75" ht="19.05" customHeight="1"/>
    <row r="76" s="1" customFormat="1" ht="19.05" customHeight="1" spans="1:17">
      <c r="A76" s="59" t="s">
        <v>60</v>
      </c>
      <c r="B76" s="59"/>
      <c r="C76" s="59"/>
      <c r="D76" s="59"/>
      <c r="E76" s="59"/>
      <c r="G76" s="60" t="s">
        <v>61</v>
      </c>
      <c r="H76" s="61" t="s">
        <v>62</v>
      </c>
      <c r="I76" s="60" t="s">
        <v>63</v>
      </c>
      <c r="J76" s="60" t="s">
        <v>15</v>
      </c>
      <c r="K76" s="60" t="s">
        <v>18</v>
      </c>
      <c r="M76" s="62"/>
    </row>
    <row r="77" s="1" customFormat="1" ht="19.05" customHeight="1" spans="1:17">
      <c r="A77" s="63">
        <v>1</v>
      </c>
      <c r="B77" s="64" t="s">
        <v>64</v>
      </c>
      <c r="C77" s="64"/>
      <c r="D77" s="64"/>
      <c r="E77" s="64"/>
      <c r="G77" s="60" t="s">
        <v>65</v>
      </c>
      <c r="H77" s="60">
        <v>15000</v>
      </c>
      <c r="I77" s="61"/>
      <c r="J77" s="61">
        <f>+J74</f>
        <v>0</v>
      </c>
      <c r="K77" s="65"/>
      <c r="M77" s="62"/>
    </row>
    <row r="78" s="1" customFormat="1" ht="28" customHeight="1" spans="1:17">
      <c r="A78" s="63">
        <v>2</v>
      </c>
      <c r="B78" s="64" t="s">
        <v>66</v>
      </c>
      <c r="C78" s="64"/>
      <c r="D78" s="64"/>
      <c r="E78" s="64"/>
      <c r="G78" s="60" t="s">
        <v>67</v>
      </c>
      <c r="H78" s="61"/>
      <c r="I78" s="60"/>
      <c r="J78" s="60">
        <f>+$H$77*I78</f>
        <v>0</v>
      </c>
      <c r="K78" s="66"/>
      <c r="M78" s="62"/>
    </row>
    <row r="79" s="1" customFormat="1" ht="19.05" customHeight="1" spans="1:17">
      <c r="A79" s="63">
        <v>3</v>
      </c>
      <c r="B79" s="64" t="s">
        <v>68</v>
      </c>
      <c r="C79" s="64"/>
      <c r="D79" s="64"/>
      <c r="E79" s="64"/>
      <c r="G79" s="60" t="s">
        <v>69</v>
      </c>
      <c r="H79" s="61"/>
      <c r="I79" s="61"/>
      <c r="J79" s="60">
        <f>+$H$77*I79</f>
        <v>0</v>
      </c>
      <c r="K79" s="65"/>
      <c r="M79" s="62"/>
    </row>
    <row r="80" s="1" customFormat="1" ht="19.05" customHeight="1" spans="1:17">
      <c r="A80" s="63">
        <v>4</v>
      </c>
      <c r="B80" s="64" t="s">
        <v>70</v>
      </c>
      <c r="C80" s="64"/>
      <c r="D80" s="64"/>
      <c r="E80" s="64"/>
      <c r="G80" s="60" t="s">
        <v>71</v>
      </c>
      <c r="H80" s="61"/>
      <c r="I80" s="61"/>
      <c r="J80" s="60"/>
      <c r="K80" s="65"/>
      <c r="M80" s="62"/>
      <c r="N80" s="62"/>
    </row>
    <row r="81" s="1" customFormat="1" ht="21" customHeight="1" spans="1:16">
      <c r="A81" s="67"/>
      <c r="B81" s="67"/>
      <c r="C81" s="67"/>
      <c r="D81" s="67"/>
      <c r="E81" s="67"/>
      <c r="G81" s="60" t="s">
        <v>72</v>
      </c>
      <c r="H81" s="61"/>
      <c r="I81" s="61"/>
      <c r="J81" s="60"/>
      <c r="K81" s="65"/>
      <c r="M81" s="62"/>
      <c r="N81" s="62"/>
      <c r="O81" s="7"/>
      <c r="P81" s="7"/>
    </row>
    <row r="82" s="1" customFormat="1" ht="19.05" customHeight="1" spans="1:16">
      <c r="G82" s="60" t="s">
        <v>73</v>
      </c>
      <c r="H82" s="60">
        <v>1</v>
      </c>
      <c r="I82" s="60"/>
      <c r="J82" s="60"/>
      <c r="K82" s="68" t="s">
        <v>74</v>
      </c>
      <c r="M82" s="62"/>
      <c r="N82" s="62"/>
      <c r="O82" s="7"/>
      <c r="P82" s="7"/>
    </row>
    <row r="83" s="1" customFormat="1" ht="19.05" customHeight="1" spans="1:16">
      <c r="A83" s="59" t="s">
        <v>294</v>
      </c>
      <c r="B83" s="59"/>
      <c r="C83" s="59"/>
      <c r="D83" s="59"/>
      <c r="E83" s="59"/>
      <c r="G83" s="60" t="s">
        <v>75</v>
      </c>
      <c r="H83" s="60">
        <v>1</v>
      </c>
      <c r="I83" s="60"/>
      <c r="J83" s="60"/>
      <c r="K83" s="65"/>
      <c r="M83" s="62"/>
      <c r="N83" s="62"/>
      <c r="O83" s="7"/>
      <c r="P83" s="7"/>
    </row>
    <row r="84" s="1" customFormat="1" ht="19.05" customHeight="1" spans="1:16">
      <c r="A84" s="63">
        <v>1</v>
      </c>
      <c r="B84" s="64" t="s">
        <v>295</v>
      </c>
      <c r="C84" s="64"/>
      <c r="D84" s="64"/>
      <c r="E84" s="69"/>
      <c r="G84" s="60" t="s">
        <v>76</v>
      </c>
      <c r="H84" s="60">
        <v>1</v>
      </c>
      <c r="I84" s="60"/>
      <c r="J84" s="60"/>
      <c r="K84" s="65"/>
      <c r="M84" s="70"/>
      <c r="N84" s="70"/>
      <c r="O84" s="7"/>
      <c r="P84" s="7"/>
    </row>
    <row r="85" s="1" customFormat="1" ht="19.05" customHeight="1" spans="1:16">
      <c r="A85" s="63">
        <v>2</v>
      </c>
      <c r="B85" s="64" t="s">
        <v>296</v>
      </c>
      <c r="C85" s="64"/>
      <c r="D85" s="64"/>
      <c r="E85" s="71"/>
      <c r="G85" s="60" t="s">
        <v>77</v>
      </c>
      <c r="H85" s="61"/>
      <c r="I85" s="61">
        <f>J85/H77</f>
        <v>0</v>
      </c>
      <c r="J85" s="61">
        <f>SUM(J77:J84)</f>
        <v>0</v>
      </c>
      <c r="K85" s="65"/>
      <c r="M85" s="62"/>
      <c r="N85" s="62"/>
      <c r="O85" s="7"/>
      <c r="P85" s="7"/>
    </row>
    <row r="86" s="1" customFormat="1" ht="19.05" customHeight="1" spans="1:16">
      <c r="A86" s="63">
        <v>3</v>
      </c>
      <c r="B86" s="64" t="s">
        <v>297</v>
      </c>
      <c r="C86" s="64"/>
      <c r="D86" s="64"/>
      <c r="E86" s="72"/>
      <c r="G86" s="60" t="s">
        <v>78</v>
      </c>
      <c r="H86" s="61"/>
      <c r="I86" s="61">
        <f>I85/6.8</f>
        <v>0</v>
      </c>
      <c r="J86" s="61">
        <f>J85/6.8</f>
        <v>0</v>
      </c>
      <c r="K86" s="65"/>
      <c r="M86" s="62"/>
      <c r="N86" s="62"/>
      <c r="O86" s="7"/>
      <c r="P86" s="7"/>
    </row>
    <row r="87" s="1" customFormat="1" ht="19.05" customHeight="1" spans="1:16">
      <c r="B87" s="6"/>
      <c r="M87" s="62"/>
      <c r="N87" s="62"/>
      <c r="O87" s="7"/>
      <c r="P87" s="7"/>
    </row>
  </sheetData>
  <mergeCells count="17">
    <mergeCell ref="A1:Q1"/>
    <mergeCell ref="A2:Q2"/>
    <mergeCell ref="A3:B3"/>
    <mergeCell ref="M3:Q3"/>
    <mergeCell ref="A4:F4"/>
    <mergeCell ref="G4:L4"/>
    <mergeCell ref="M4:Q4"/>
    <mergeCell ref="A74:G74"/>
    <mergeCell ref="A76:E76"/>
    <mergeCell ref="B77:E77"/>
    <mergeCell ref="B78:E78"/>
    <mergeCell ref="B79:E79"/>
    <mergeCell ref="B80:E80"/>
    <mergeCell ref="A83:E83"/>
    <mergeCell ref="B84:D84"/>
    <mergeCell ref="B85:D85"/>
    <mergeCell ref="B86:D8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PGE22001.052.000-02 </vt:lpstr>
      <vt:lpstr>PGE22001.051.000-01</vt:lpstr>
      <vt:lpstr>PGE22001.050.000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</dc:creator>
  <cp:lastModifiedBy>玲玲</cp:lastModifiedBy>
  <dcterms:created xsi:type="dcterms:W3CDTF">2023-05-12T11:15:00Z</dcterms:created>
  <dcterms:modified xsi:type="dcterms:W3CDTF">2026-03-25T02:29:40Z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5C784F84695B45FB9C2E7AB7A4E17C49_12</vt:lpwstr>
  </property>
  <property fmtid="{D5CDD505-2E9C-101B-9397-08002B2CF9AE}" pid="4" name="CalculationRule">
    <vt:i4>0</vt:i4>
  </property>
</Properties>
</file>